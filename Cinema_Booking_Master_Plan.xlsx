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" sheetId="1" state="visible" r:id="rId1"/>
    <sheet xmlns:r="http://schemas.openxmlformats.org/officeDocument/2006/relationships" name="Chú thí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FFD966"/>
    </font>
    <font>
      <b val="1"/>
      <color rgb="001F3864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166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166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0" borderId="0" pivotButton="0" quotePrefix="0" xfId="0"/>
    <xf numFmtId="9" fontId="5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2F2F2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0000"/>
        </patternFill>
      </fill>
    </dxf>
    <dxf>
      <fill>
        <patternFill patternType="solid">
          <bgColor rgb="001F3864"/>
        </patternFill>
      </fill>
    </dxf>
    <dxf>
      <fill>
        <patternFill patternType="solid">
          <bgColor rgb="0070AD47"/>
        </patternFill>
      </fill>
    </dxf>
    <dxf>
      <fill>
        <patternFill patternType="solid">
          <bgColor rgb="00FFC000"/>
        </patternFill>
      </fill>
    </dxf>
    <dxf>
      <fill>
        <patternFill patternType="solid">
          <bgColor rgb="005B9B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1"/>
  <sheetViews>
    <sheetView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2" customWidth="1" min="2" max="2"/>
    <col width="16" customWidth="1" min="3" max="3"/>
    <col width="11" customWidth="1" min="4" max="4"/>
    <col width="11" customWidth="1" min="5" max="5"/>
    <col width="11" customWidth="1" min="6" max="6"/>
    <col width="16" customWidth="1" min="7" max="7"/>
    <col width="13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  <col width="3.6" customWidth="1" min="52" max="52"/>
    <col width="3.6" customWidth="1" min="53" max="53"/>
    <col width="3.6" customWidth="1" min="54" max="54"/>
    <col width="3.6" customWidth="1" min="55" max="55"/>
    <col width="3.6" customWidth="1" min="56" max="56"/>
    <col width="3.6" customWidth="1" min="57" max="57"/>
    <col width="3.6" customWidth="1" min="58" max="58"/>
    <col width="3.6" customWidth="1" min="59" max="59"/>
    <col width="3.6" customWidth="1" min="60" max="60"/>
    <col width="3.6" customWidth="1" min="61" max="61"/>
    <col width="3.6" customWidth="1" min="62" max="62"/>
    <col width="3.6" customWidth="1" min="63" max="63"/>
    <col width="3.6" customWidth="1" min="64" max="64"/>
    <col width="3.6" customWidth="1" min="65" max="65"/>
    <col width="3.6" customWidth="1" min="66" max="66"/>
    <col width="3.6" customWidth="1" min="67" max="67"/>
    <col width="3.6" customWidth="1" min="68" max="68"/>
    <col width="3.6" customWidth="1" min="69" max="69"/>
    <col width="3.6" customWidth="1" min="70" max="70"/>
    <col width="3.6" customWidth="1" min="71" max="71"/>
  </cols>
  <sheetData>
    <row r="1">
      <c r="A1" s="1" t="inlineStr">
        <is>
          <t>MASTER PLAN – HỆ THỐNG ĐẶT VÉ XEM PHIM (CINEMA BOOKING)</t>
        </is>
      </c>
    </row>
    <row r="2" ht="30" customHeight="1">
      <c r="A2" s="2" t="inlineStr"/>
      <c r="B2" s="2" t="inlineStr">
        <is>
          <t>Công việc</t>
        </is>
      </c>
      <c r="C2" s="2" t="inlineStr">
        <is>
          <t>Người chịu trách nhiệm chính</t>
        </is>
      </c>
      <c r="D2" s="2" t="inlineStr">
        <is>
          <t>Ước lượng thời gian</t>
        </is>
      </c>
      <c r="E2" s="2" t="inlineStr">
        <is>
          <t>Bắt đầu</t>
        </is>
      </c>
      <c r="F2" s="2" t="inlineStr">
        <is>
          <t>Deadline</t>
        </is>
      </c>
      <c r="G2" s="2" t="inlineStr">
        <is>
          <t>Trạng thái</t>
        </is>
      </c>
      <c r="H2" s="2" t="inlineStr">
        <is>
          <t>Tỉ lệ/Mức độ hoàn thành</t>
        </is>
      </c>
      <c r="I2" s="2" t="inlineStr">
        <is>
          <t>Tháng 9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inlineStr">
        <is>
          <t>Tháng 10</t>
        </is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inlineStr">
        <is>
          <t>Tháng 11</t>
        </is>
      </c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3" t="n">
        <v>46286</v>
      </c>
      <c r="J3" s="3" t="n">
        <v>46287</v>
      </c>
      <c r="K3" s="3" t="n">
        <v>46288</v>
      </c>
      <c r="L3" s="3" t="n">
        <v>46289</v>
      </c>
      <c r="M3" s="3" t="n">
        <v>46290</v>
      </c>
      <c r="N3" s="4" t="n">
        <v>46291</v>
      </c>
      <c r="O3" s="4" t="n">
        <v>46292</v>
      </c>
      <c r="P3" s="3" t="n">
        <v>46293</v>
      </c>
      <c r="Q3" s="3" t="n">
        <v>46294</v>
      </c>
      <c r="R3" s="3" t="n">
        <v>46295</v>
      </c>
      <c r="S3" s="3" t="n">
        <v>46296</v>
      </c>
      <c r="T3" s="3" t="n">
        <v>46297</v>
      </c>
      <c r="U3" s="4" t="n">
        <v>46298</v>
      </c>
      <c r="V3" s="4" t="n">
        <v>46299</v>
      </c>
      <c r="W3" s="3" t="n">
        <v>46300</v>
      </c>
      <c r="X3" s="3" t="n">
        <v>46301</v>
      </c>
      <c r="Y3" s="3" t="n">
        <v>46302</v>
      </c>
      <c r="Z3" s="3" t="n">
        <v>46303</v>
      </c>
      <c r="AA3" s="3" t="n">
        <v>46304</v>
      </c>
      <c r="AB3" s="4" t="n">
        <v>46305</v>
      </c>
      <c r="AC3" s="4" t="n">
        <v>46306</v>
      </c>
      <c r="AD3" s="3" t="n">
        <v>46307</v>
      </c>
      <c r="AE3" s="3" t="n">
        <v>46308</v>
      </c>
      <c r="AF3" s="3" t="n">
        <v>46309</v>
      </c>
      <c r="AG3" s="3" t="n">
        <v>46310</v>
      </c>
      <c r="AH3" s="3" t="n">
        <v>46311</v>
      </c>
      <c r="AI3" s="4" t="n">
        <v>46312</v>
      </c>
      <c r="AJ3" s="4" t="n">
        <v>46313</v>
      </c>
      <c r="AK3" s="3" t="n">
        <v>46314</v>
      </c>
      <c r="AL3" s="3" t="n">
        <v>46315</v>
      </c>
      <c r="AM3" s="3" t="n">
        <v>46316</v>
      </c>
      <c r="AN3" s="3" t="n">
        <v>46317</v>
      </c>
      <c r="AO3" s="3" t="n">
        <v>46318</v>
      </c>
      <c r="AP3" s="4" t="n">
        <v>46319</v>
      </c>
      <c r="AQ3" s="4" t="n">
        <v>46320</v>
      </c>
      <c r="AR3" s="3" t="n">
        <v>46321</v>
      </c>
      <c r="AS3" s="3" t="n">
        <v>46322</v>
      </c>
      <c r="AT3" s="3" t="n">
        <v>46323</v>
      </c>
      <c r="AU3" s="3" t="n">
        <v>46324</v>
      </c>
      <c r="AV3" s="3" t="n">
        <v>46325</v>
      </c>
      <c r="AW3" s="4" t="n">
        <v>46326</v>
      </c>
      <c r="AX3" s="4" t="n">
        <v>46327</v>
      </c>
      <c r="AY3" s="3" t="n">
        <v>46328</v>
      </c>
      <c r="AZ3" s="3" t="n">
        <v>46329</v>
      </c>
      <c r="BA3" s="3" t="n">
        <v>46330</v>
      </c>
      <c r="BB3" s="3" t="n">
        <v>46331</v>
      </c>
      <c r="BC3" s="3" t="n">
        <v>46332</v>
      </c>
      <c r="BD3" s="4" t="n">
        <v>46333</v>
      </c>
      <c r="BE3" s="4" t="n">
        <v>46334</v>
      </c>
      <c r="BF3" s="3" t="n">
        <v>46335</v>
      </c>
      <c r="BG3" s="3" t="n">
        <v>46336</v>
      </c>
      <c r="BH3" s="3" t="n">
        <v>46337</v>
      </c>
      <c r="BI3" s="3" t="n">
        <v>46338</v>
      </c>
      <c r="BJ3" s="3" t="n">
        <v>46339</v>
      </c>
      <c r="BK3" s="4" t="n">
        <v>46340</v>
      </c>
      <c r="BL3" s="4" t="n">
        <v>46341</v>
      </c>
      <c r="BM3" s="3" t="n">
        <v>46342</v>
      </c>
      <c r="BN3" s="3" t="n">
        <v>46343</v>
      </c>
      <c r="BO3" s="3" t="n">
        <v>46344</v>
      </c>
      <c r="BP3" s="3" t="n">
        <v>46345</v>
      </c>
      <c r="BQ3" s="3" t="n">
        <v>46346</v>
      </c>
      <c r="BR3" s="4" t="n">
        <v>46347</v>
      </c>
      <c r="BS3" s="4" t="n">
        <v>46348</v>
      </c>
    </row>
    <row r="4" ht="30" customHeight="1">
      <c r="A4" s="5" t="inlineStr">
        <is>
          <t>A</t>
        </is>
      </c>
      <c r="B4" s="6" t="inlineStr">
        <is>
          <t>Sprint 1 – Nền tảng, danh mục, lịch chiếu, đặt vé</t>
        </is>
      </c>
      <c r="C4" s="5" t="n"/>
      <c r="D4" s="5" t="inlineStr">
        <is>
          <t>4w</t>
        </is>
      </c>
      <c r="E4" s="7" t="n">
        <v>46286</v>
      </c>
      <c r="F4" s="7" t="n">
        <v>46313</v>
      </c>
      <c r="G4" s="5">
        <f>IF(H4&gt;=1,"Đã hoàn thành",IF(H4&gt;0,"Đang thực hiện","Chưa thực hiện"))</f>
        <v/>
      </c>
      <c r="H4" s="8">
        <f>IFERROR(AVERAGE(H5,H10,H15,H21),0)</f>
        <v/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</row>
    <row r="5" ht="30" customHeight="1">
      <c r="A5" s="9" t="inlineStr">
        <is>
          <t>1</t>
        </is>
      </c>
      <c r="B5" s="10" t="inlineStr">
        <is>
          <t>Nền tảng và tài khoản</t>
        </is>
      </c>
      <c r="C5" s="9" t="inlineStr">
        <is>
          <t>Đạt</t>
        </is>
      </c>
      <c r="D5" s="9" t="inlineStr">
        <is>
          <t>1w</t>
        </is>
      </c>
      <c r="E5" s="11" t="n">
        <v>46286</v>
      </c>
      <c r="F5" s="11" t="n">
        <v>46292</v>
      </c>
      <c r="G5" s="9">
        <f>IF(H5&gt;=1,"Đã hoàn thành",IF(H5&gt;0,"Đang thực hiện","Chưa thực hiện"))</f>
        <v/>
      </c>
      <c r="H5" s="12">
        <f>IFERROR(AVERAGE(H6:H9),0)</f>
        <v/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</row>
    <row r="6" ht="30" customHeight="1">
      <c r="A6" s="13" t="inlineStr">
        <is>
          <t>1.1</t>
        </is>
      </c>
      <c r="B6" s="14" t="inlineStr">
        <is>
          <t>Viết tài liệu đặc tả, use case, ERD, sequence diagram luồng đặt vé</t>
        </is>
      </c>
      <c r="C6" s="13" t="inlineStr">
        <is>
          <t>Đạt</t>
        </is>
      </c>
      <c r="D6" s="13" t="inlineStr">
        <is>
          <t>1d</t>
        </is>
      </c>
      <c r="E6" s="15" t="n">
        <v>46286</v>
      </c>
      <c r="F6" s="15" t="n">
        <v>46286</v>
      </c>
      <c r="G6" s="13" t="inlineStr">
        <is>
          <t>Chưa thực hiện</t>
        </is>
      </c>
      <c r="H6" s="16" t="n">
        <v>0</v>
      </c>
      <c r="I6" s="13" t="n"/>
      <c r="J6" s="13" t="n"/>
      <c r="K6" s="13" t="n"/>
      <c r="L6" s="13" t="n"/>
      <c r="M6" s="13" t="n"/>
      <c r="N6" s="17" t="n"/>
      <c r="O6" s="17" t="n"/>
      <c r="P6" s="13" t="n"/>
      <c r="Q6" s="13" t="n"/>
      <c r="R6" s="13" t="n"/>
      <c r="S6" s="13" t="n"/>
      <c r="T6" s="13" t="n"/>
      <c r="U6" s="17" t="n"/>
      <c r="V6" s="17" t="n"/>
      <c r="W6" s="13" t="n"/>
      <c r="X6" s="13" t="n"/>
      <c r="Y6" s="13" t="n"/>
      <c r="Z6" s="13" t="n"/>
      <c r="AA6" s="13" t="n"/>
      <c r="AB6" s="17" t="n"/>
      <c r="AC6" s="17" t="n"/>
      <c r="AD6" s="13" t="n"/>
      <c r="AE6" s="13" t="n"/>
      <c r="AF6" s="13" t="n"/>
      <c r="AG6" s="13" t="n"/>
      <c r="AH6" s="13" t="n"/>
      <c r="AI6" s="17" t="n"/>
      <c r="AJ6" s="17" t="n"/>
      <c r="AK6" s="13" t="n"/>
      <c r="AL6" s="13" t="n"/>
      <c r="AM6" s="13" t="n"/>
      <c r="AN6" s="13" t="n"/>
      <c r="AO6" s="13" t="n"/>
      <c r="AP6" s="17" t="n"/>
      <c r="AQ6" s="17" t="n"/>
      <c r="AR6" s="13" t="n"/>
      <c r="AS6" s="13" t="n"/>
      <c r="AT6" s="13" t="n"/>
      <c r="AU6" s="13" t="n"/>
      <c r="AV6" s="13" t="n"/>
      <c r="AW6" s="17" t="n"/>
      <c r="AX6" s="17" t="n"/>
      <c r="AY6" s="13" t="n"/>
      <c r="AZ6" s="13" t="n"/>
      <c r="BA6" s="13" t="n"/>
      <c r="BB6" s="13" t="n"/>
      <c r="BC6" s="13" t="n"/>
      <c r="BD6" s="17" t="n"/>
      <c r="BE6" s="17" t="n"/>
      <c r="BF6" s="13" t="n"/>
      <c r="BG6" s="13" t="n"/>
      <c r="BH6" s="13" t="n"/>
      <c r="BI6" s="13" t="n"/>
      <c r="BJ6" s="13" t="n"/>
      <c r="BK6" s="17" t="n"/>
      <c r="BL6" s="17" t="n"/>
      <c r="BM6" s="13" t="n"/>
      <c r="BN6" s="13" t="n"/>
      <c r="BO6" s="13" t="n"/>
      <c r="BP6" s="13" t="n"/>
      <c r="BQ6" s="13" t="n"/>
      <c r="BR6" s="17" t="n"/>
      <c r="BS6" s="17" t="n"/>
    </row>
    <row r="7" ht="30" customHeight="1">
      <c r="A7" s="13" t="inlineStr">
        <is>
          <t>1.2</t>
        </is>
      </c>
      <c r="B7" s="14" t="inlineStr">
        <is>
          <t>Migration/schema nền: tài khoản, rạp, phòng, ghế, phim, suất chiếu</t>
        </is>
      </c>
      <c r="C7" s="13" t="inlineStr">
        <is>
          <t>Đạt</t>
        </is>
      </c>
      <c r="D7" s="13" t="inlineStr">
        <is>
          <t>1d</t>
        </is>
      </c>
      <c r="E7" s="15" t="n">
        <v>46287</v>
      </c>
      <c r="F7" s="15" t="n">
        <v>46287</v>
      </c>
      <c r="G7" s="13" t="inlineStr">
        <is>
          <t>Chưa thực hiện</t>
        </is>
      </c>
      <c r="H7" s="16" t="n">
        <v>0</v>
      </c>
      <c r="I7" s="13" t="n"/>
      <c r="J7" s="13" t="n"/>
      <c r="K7" s="13" t="n"/>
      <c r="L7" s="13" t="n"/>
      <c r="M7" s="13" t="n"/>
      <c r="N7" s="17" t="n"/>
      <c r="O7" s="17" t="n"/>
      <c r="P7" s="13" t="n"/>
      <c r="Q7" s="13" t="n"/>
      <c r="R7" s="13" t="n"/>
      <c r="S7" s="13" t="n"/>
      <c r="T7" s="13" t="n"/>
      <c r="U7" s="17" t="n"/>
      <c r="V7" s="17" t="n"/>
      <c r="W7" s="13" t="n"/>
      <c r="X7" s="13" t="n"/>
      <c r="Y7" s="13" t="n"/>
      <c r="Z7" s="13" t="n"/>
      <c r="AA7" s="13" t="n"/>
      <c r="AB7" s="17" t="n"/>
      <c r="AC7" s="17" t="n"/>
      <c r="AD7" s="13" t="n"/>
      <c r="AE7" s="13" t="n"/>
      <c r="AF7" s="13" t="n"/>
      <c r="AG7" s="13" t="n"/>
      <c r="AH7" s="13" t="n"/>
      <c r="AI7" s="17" t="n"/>
      <c r="AJ7" s="17" t="n"/>
      <c r="AK7" s="13" t="n"/>
      <c r="AL7" s="13" t="n"/>
      <c r="AM7" s="13" t="n"/>
      <c r="AN7" s="13" t="n"/>
      <c r="AO7" s="13" t="n"/>
      <c r="AP7" s="17" t="n"/>
      <c r="AQ7" s="17" t="n"/>
      <c r="AR7" s="13" t="n"/>
      <c r="AS7" s="13" t="n"/>
      <c r="AT7" s="13" t="n"/>
      <c r="AU7" s="13" t="n"/>
      <c r="AV7" s="13" t="n"/>
      <c r="AW7" s="17" t="n"/>
      <c r="AX7" s="17" t="n"/>
      <c r="AY7" s="13" t="n"/>
      <c r="AZ7" s="13" t="n"/>
      <c r="BA7" s="13" t="n"/>
      <c r="BB7" s="13" t="n"/>
      <c r="BC7" s="13" t="n"/>
      <c r="BD7" s="17" t="n"/>
      <c r="BE7" s="17" t="n"/>
      <c r="BF7" s="13" t="n"/>
      <c r="BG7" s="13" t="n"/>
      <c r="BH7" s="13" t="n"/>
      <c r="BI7" s="13" t="n"/>
      <c r="BJ7" s="13" t="n"/>
      <c r="BK7" s="17" t="n"/>
      <c r="BL7" s="17" t="n"/>
      <c r="BM7" s="13" t="n"/>
      <c r="BN7" s="13" t="n"/>
      <c r="BO7" s="13" t="n"/>
      <c r="BP7" s="13" t="n"/>
      <c r="BQ7" s="13" t="n"/>
      <c r="BR7" s="17" t="n"/>
      <c r="BS7" s="17" t="n"/>
    </row>
    <row r="8" ht="30" customHeight="1">
      <c r="A8" s="13" t="inlineStr">
        <is>
          <t>1.3</t>
        </is>
      </c>
      <c r="B8" s="14" t="inlineStr">
        <is>
          <t>API auth/RBAC (Khách hàng/Nhân viên/Admin), JWT/refresh/reset, row_version và khung audit</t>
        </is>
      </c>
      <c r="C8" s="13" t="inlineStr">
        <is>
          <t>Đạt</t>
        </is>
      </c>
      <c r="D8" s="13" t="inlineStr">
        <is>
          <t>2d</t>
        </is>
      </c>
      <c r="E8" s="15" t="n">
        <v>46288</v>
      </c>
      <c r="F8" s="15" t="n">
        <v>46289</v>
      </c>
      <c r="G8" s="13" t="inlineStr">
        <is>
          <t>Chưa thực hiện</t>
        </is>
      </c>
      <c r="H8" s="16" t="n">
        <v>0</v>
      </c>
      <c r="I8" s="13" t="n"/>
      <c r="J8" s="13" t="n"/>
      <c r="K8" s="13" t="n"/>
      <c r="L8" s="13" t="n"/>
      <c r="M8" s="13" t="n"/>
      <c r="N8" s="17" t="n"/>
      <c r="O8" s="17" t="n"/>
      <c r="P8" s="13" t="n"/>
      <c r="Q8" s="13" t="n"/>
      <c r="R8" s="13" t="n"/>
      <c r="S8" s="13" t="n"/>
      <c r="T8" s="13" t="n"/>
      <c r="U8" s="17" t="n"/>
      <c r="V8" s="17" t="n"/>
      <c r="W8" s="13" t="n"/>
      <c r="X8" s="13" t="n"/>
      <c r="Y8" s="13" t="n"/>
      <c r="Z8" s="13" t="n"/>
      <c r="AA8" s="13" t="n"/>
      <c r="AB8" s="17" t="n"/>
      <c r="AC8" s="17" t="n"/>
      <c r="AD8" s="13" t="n"/>
      <c r="AE8" s="13" t="n"/>
      <c r="AF8" s="13" t="n"/>
      <c r="AG8" s="13" t="n"/>
      <c r="AH8" s="13" t="n"/>
      <c r="AI8" s="17" t="n"/>
      <c r="AJ8" s="17" t="n"/>
      <c r="AK8" s="13" t="n"/>
      <c r="AL8" s="13" t="n"/>
      <c r="AM8" s="13" t="n"/>
      <c r="AN8" s="13" t="n"/>
      <c r="AO8" s="13" t="n"/>
      <c r="AP8" s="17" t="n"/>
      <c r="AQ8" s="17" t="n"/>
      <c r="AR8" s="13" t="n"/>
      <c r="AS8" s="13" t="n"/>
      <c r="AT8" s="13" t="n"/>
      <c r="AU8" s="13" t="n"/>
      <c r="AV8" s="13" t="n"/>
      <c r="AW8" s="17" t="n"/>
      <c r="AX8" s="17" t="n"/>
      <c r="AY8" s="13" t="n"/>
      <c r="AZ8" s="13" t="n"/>
      <c r="BA8" s="13" t="n"/>
      <c r="BB8" s="13" t="n"/>
      <c r="BC8" s="13" t="n"/>
      <c r="BD8" s="17" t="n"/>
      <c r="BE8" s="17" t="n"/>
      <c r="BF8" s="13" t="n"/>
      <c r="BG8" s="13" t="n"/>
      <c r="BH8" s="13" t="n"/>
      <c r="BI8" s="13" t="n"/>
      <c r="BJ8" s="13" t="n"/>
      <c r="BK8" s="17" t="n"/>
      <c r="BL8" s="17" t="n"/>
      <c r="BM8" s="13" t="n"/>
      <c r="BN8" s="13" t="n"/>
      <c r="BO8" s="13" t="n"/>
      <c r="BP8" s="13" t="n"/>
      <c r="BQ8" s="13" t="n"/>
      <c r="BR8" s="17" t="n"/>
      <c r="BS8" s="17" t="n"/>
    </row>
    <row r="9" ht="30" customHeight="1">
      <c r="A9" s="13" t="inlineStr">
        <is>
          <t>1.4</t>
        </is>
      </c>
      <c r="B9" s="14" t="inlineStr">
        <is>
          <t>UI login/register/reset/hồ sơ/quản lý tài khoản, layout ba vai trò</t>
        </is>
      </c>
      <c r="C9" s="13" t="inlineStr">
        <is>
          <t>Đạt</t>
        </is>
      </c>
      <c r="D9" s="13" t="inlineStr">
        <is>
          <t>1d</t>
        </is>
      </c>
      <c r="E9" s="15" t="n">
        <v>46290</v>
      </c>
      <c r="F9" s="15" t="n">
        <v>46290</v>
      </c>
      <c r="G9" s="13" t="inlineStr">
        <is>
          <t>Chưa thực hiện</t>
        </is>
      </c>
      <c r="H9" s="16" t="n">
        <v>0</v>
      </c>
      <c r="I9" s="13" t="n"/>
      <c r="J9" s="13" t="n"/>
      <c r="K9" s="13" t="n"/>
      <c r="L9" s="13" t="n"/>
      <c r="M9" s="13" t="n"/>
      <c r="N9" s="17" t="n"/>
      <c r="O9" s="17" t="n"/>
      <c r="P9" s="13" t="n"/>
      <c r="Q9" s="13" t="n"/>
      <c r="R9" s="13" t="n"/>
      <c r="S9" s="13" t="n"/>
      <c r="T9" s="13" t="n"/>
      <c r="U9" s="17" t="n"/>
      <c r="V9" s="17" t="n"/>
      <c r="W9" s="13" t="n"/>
      <c r="X9" s="13" t="n"/>
      <c r="Y9" s="13" t="n"/>
      <c r="Z9" s="13" t="n"/>
      <c r="AA9" s="13" t="n"/>
      <c r="AB9" s="17" t="n"/>
      <c r="AC9" s="17" t="n"/>
      <c r="AD9" s="13" t="n"/>
      <c r="AE9" s="13" t="n"/>
      <c r="AF9" s="13" t="n"/>
      <c r="AG9" s="13" t="n"/>
      <c r="AH9" s="13" t="n"/>
      <c r="AI9" s="17" t="n"/>
      <c r="AJ9" s="17" t="n"/>
      <c r="AK9" s="13" t="n"/>
      <c r="AL9" s="13" t="n"/>
      <c r="AM9" s="13" t="n"/>
      <c r="AN9" s="13" t="n"/>
      <c r="AO9" s="13" t="n"/>
      <c r="AP9" s="17" t="n"/>
      <c r="AQ9" s="17" t="n"/>
      <c r="AR9" s="13" t="n"/>
      <c r="AS9" s="13" t="n"/>
      <c r="AT9" s="13" t="n"/>
      <c r="AU9" s="13" t="n"/>
      <c r="AV9" s="13" t="n"/>
      <c r="AW9" s="17" t="n"/>
      <c r="AX9" s="17" t="n"/>
      <c r="AY9" s="13" t="n"/>
      <c r="AZ9" s="13" t="n"/>
      <c r="BA9" s="13" t="n"/>
      <c r="BB9" s="13" t="n"/>
      <c r="BC9" s="13" t="n"/>
      <c r="BD9" s="17" t="n"/>
      <c r="BE9" s="17" t="n"/>
      <c r="BF9" s="13" t="n"/>
      <c r="BG9" s="13" t="n"/>
      <c r="BH9" s="13" t="n"/>
      <c r="BI9" s="13" t="n"/>
      <c r="BJ9" s="13" t="n"/>
      <c r="BK9" s="17" t="n"/>
      <c r="BL9" s="17" t="n"/>
      <c r="BM9" s="13" t="n"/>
      <c r="BN9" s="13" t="n"/>
      <c r="BO9" s="13" t="n"/>
      <c r="BP9" s="13" t="n"/>
      <c r="BQ9" s="13" t="n"/>
      <c r="BR9" s="17" t="n"/>
      <c r="BS9" s="17" t="n"/>
    </row>
    <row r="10" ht="30" customHeight="1">
      <c r="A10" s="9" t="inlineStr">
        <is>
          <t>2</t>
        </is>
      </c>
      <c r="B10" s="10" t="inlineStr">
        <is>
          <t>Danh mục phim và rạp</t>
        </is>
      </c>
      <c r="C10" s="9" t="inlineStr">
        <is>
          <t>Đạt</t>
        </is>
      </c>
      <c r="D10" s="9" t="inlineStr">
        <is>
          <t>1w</t>
        </is>
      </c>
      <c r="E10" s="11" t="n">
        <v>46293</v>
      </c>
      <c r="F10" s="11" t="n">
        <v>46299</v>
      </c>
      <c r="G10" s="9">
        <f>IF(H10&gt;=1,"Đã hoàn thành",IF(H10&gt;0,"Đang thực hiện","Chưa thực hiện"))</f>
        <v/>
      </c>
      <c r="H10" s="12">
        <f>IFERROR(AVERAGE(H11:H14),0)</f>
        <v/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</row>
    <row r="11" ht="30" customHeight="1">
      <c r="A11" s="13" t="inlineStr">
        <is>
          <t>2.1</t>
        </is>
      </c>
      <c r="B11" s="14" t="inlineStr">
        <is>
          <t>CRUD phim (thể loại, thời lượng, độ tuổi, poster, trailer): API/UI, validation, xóa mềm</t>
        </is>
      </c>
      <c r="C11" s="13" t="inlineStr">
        <is>
          <t>Đạt</t>
        </is>
      </c>
      <c r="D11" s="13" t="inlineStr">
        <is>
          <t>1d</t>
        </is>
      </c>
      <c r="E11" s="15" t="n">
        <v>46293</v>
      </c>
      <c r="F11" s="15" t="n">
        <v>46293</v>
      </c>
      <c r="G11" s="13" t="inlineStr">
        <is>
          <t>Chưa thực hiện</t>
        </is>
      </c>
      <c r="H11" s="16" t="n">
        <v>0</v>
      </c>
      <c r="I11" s="13" t="n"/>
      <c r="J11" s="13" t="n"/>
      <c r="K11" s="13" t="n"/>
      <c r="L11" s="13" t="n"/>
      <c r="M11" s="13" t="n"/>
      <c r="N11" s="17" t="n"/>
      <c r="O11" s="17" t="n"/>
      <c r="P11" s="13" t="n"/>
      <c r="Q11" s="13" t="n"/>
      <c r="R11" s="13" t="n"/>
      <c r="S11" s="13" t="n"/>
      <c r="T11" s="13" t="n"/>
      <c r="U11" s="17" t="n"/>
      <c r="V11" s="17" t="n"/>
      <c r="W11" s="13" t="n"/>
      <c r="X11" s="13" t="n"/>
      <c r="Y11" s="13" t="n"/>
      <c r="Z11" s="13" t="n"/>
      <c r="AA11" s="13" t="n"/>
      <c r="AB11" s="17" t="n"/>
      <c r="AC11" s="17" t="n"/>
      <c r="AD11" s="13" t="n"/>
      <c r="AE11" s="13" t="n"/>
      <c r="AF11" s="13" t="n"/>
      <c r="AG11" s="13" t="n"/>
      <c r="AH11" s="13" t="n"/>
      <c r="AI11" s="17" t="n"/>
      <c r="AJ11" s="17" t="n"/>
      <c r="AK11" s="13" t="n"/>
      <c r="AL11" s="13" t="n"/>
      <c r="AM11" s="13" t="n"/>
      <c r="AN11" s="13" t="n"/>
      <c r="AO11" s="13" t="n"/>
      <c r="AP11" s="17" t="n"/>
      <c r="AQ11" s="17" t="n"/>
      <c r="AR11" s="13" t="n"/>
      <c r="AS11" s="13" t="n"/>
      <c r="AT11" s="13" t="n"/>
      <c r="AU11" s="13" t="n"/>
      <c r="AV11" s="13" t="n"/>
      <c r="AW11" s="17" t="n"/>
      <c r="AX11" s="17" t="n"/>
      <c r="AY11" s="13" t="n"/>
      <c r="AZ11" s="13" t="n"/>
      <c r="BA11" s="13" t="n"/>
      <c r="BB11" s="13" t="n"/>
      <c r="BC11" s="13" t="n"/>
      <c r="BD11" s="17" t="n"/>
      <c r="BE11" s="17" t="n"/>
      <c r="BF11" s="13" t="n"/>
      <c r="BG11" s="13" t="n"/>
      <c r="BH11" s="13" t="n"/>
      <c r="BI11" s="13" t="n"/>
      <c r="BJ11" s="13" t="n"/>
      <c r="BK11" s="17" t="n"/>
      <c r="BL11" s="17" t="n"/>
      <c r="BM11" s="13" t="n"/>
      <c r="BN11" s="13" t="n"/>
      <c r="BO11" s="13" t="n"/>
      <c r="BP11" s="13" t="n"/>
      <c r="BQ11" s="13" t="n"/>
      <c r="BR11" s="17" t="n"/>
      <c r="BS11" s="17" t="n"/>
    </row>
    <row r="12" ht="30" customHeight="1">
      <c r="A12" s="13" t="inlineStr">
        <is>
          <t>2.2</t>
        </is>
      </c>
      <c r="B12" s="14" t="inlineStr">
        <is>
          <t>CRUD cụm rạp/phòng chiếu và editor sơ đồ ghế (thường/VIP/đôi)</t>
        </is>
      </c>
      <c r="C12" s="13" t="inlineStr">
        <is>
          <t>Đạt</t>
        </is>
      </c>
      <c r="D12" s="13" t="inlineStr">
        <is>
          <t>2d</t>
        </is>
      </c>
      <c r="E12" s="15" t="n">
        <v>46294</v>
      </c>
      <c r="F12" s="15" t="n">
        <v>46295</v>
      </c>
      <c r="G12" s="13" t="inlineStr">
        <is>
          <t>Chưa thực hiện</t>
        </is>
      </c>
      <c r="H12" s="16" t="n">
        <v>0</v>
      </c>
      <c r="I12" s="13" t="n"/>
      <c r="J12" s="13" t="n"/>
      <c r="K12" s="13" t="n"/>
      <c r="L12" s="13" t="n"/>
      <c r="M12" s="13" t="n"/>
      <c r="N12" s="17" t="n"/>
      <c r="O12" s="17" t="n"/>
      <c r="P12" s="13" t="n"/>
      <c r="Q12" s="13" t="n"/>
      <c r="R12" s="13" t="n"/>
      <c r="S12" s="13" t="n"/>
      <c r="T12" s="13" t="n"/>
      <c r="U12" s="17" t="n"/>
      <c r="V12" s="17" t="n"/>
      <c r="W12" s="13" t="n"/>
      <c r="X12" s="13" t="n"/>
      <c r="Y12" s="13" t="n"/>
      <c r="Z12" s="13" t="n"/>
      <c r="AA12" s="13" t="n"/>
      <c r="AB12" s="17" t="n"/>
      <c r="AC12" s="17" t="n"/>
      <c r="AD12" s="13" t="n"/>
      <c r="AE12" s="13" t="n"/>
      <c r="AF12" s="13" t="n"/>
      <c r="AG12" s="13" t="n"/>
      <c r="AH12" s="13" t="n"/>
      <c r="AI12" s="17" t="n"/>
      <c r="AJ12" s="17" t="n"/>
      <c r="AK12" s="13" t="n"/>
      <c r="AL12" s="13" t="n"/>
      <c r="AM12" s="13" t="n"/>
      <c r="AN12" s="13" t="n"/>
      <c r="AO12" s="13" t="n"/>
      <c r="AP12" s="17" t="n"/>
      <c r="AQ12" s="17" t="n"/>
      <c r="AR12" s="13" t="n"/>
      <c r="AS12" s="13" t="n"/>
      <c r="AT12" s="13" t="n"/>
      <c r="AU12" s="13" t="n"/>
      <c r="AV12" s="13" t="n"/>
      <c r="AW12" s="17" t="n"/>
      <c r="AX12" s="17" t="n"/>
      <c r="AY12" s="13" t="n"/>
      <c r="AZ12" s="13" t="n"/>
      <c r="BA12" s="13" t="n"/>
      <c r="BB12" s="13" t="n"/>
      <c r="BC12" s="13" t="n"/>
      <c r="BD12" s="17" t="n"/>
      <c r="BE12" s="17" t="n"/>
      <c r="BF12" s="13" t="n"/>
      <c r="BG12" s="13" t="n"/>
      <c r="BH12" s="13" t="n"/>
      <c r="BI12" s="13" t="n"/>
      <c r="BJ12" s="13" t="n"/>
      <c r="BK12" s="17" t="n"/>
      <c r="BL12" s="17" t="n"/>
      <c r="BM12" s="13" t="n"/>
      <c r="BN12" s="13" t="n"/>
      <c r="BO12" s="13" t="n"/>
      <c r="BP12" s="13" t="n"/>
      <c r="BQ12" s="13" t="n"/>
      <c r="BR12" s="17" t="n"/>
      <c r="BS12" s="17" t="n"/>
    </row>
    <row r="13" ht="30" customHeight="1">
      <c r="A13" s="13" t="inlineStr">
        <is>
          <t>2.3</t>
        </is>
      </c>
      <c r="B13" s="14" t="inlineStr">
        <is>
          <t>Trang public: phim đang chiếu/sắp chiếu, chi tiết phim, tìm kiếm/lọc theo thể loại, rạp</t>
        </is>
      </c>
      <c r="C13" s="13" t="inlineStr">
        <is>
          <t>Đạt</t>
        </is>
      </c>
      <c r="D13" s="13" t="inlineStr">
        <is>
          <t>1d</t>
        </is>
      </c>
      <c r="E13" s="15" t="n">
        <v>46296</v>
      </c>
      <c r="F13" s="15" t="n">
        <v>46296</v>
      </c>
      <c r="G13" s="13" t="inlineStr">
        <is>
          <t>Chưa thực hiện</t>
        </is>
      </c>
      <c r="H13" s="16" t="n">
        <v>0</v>
      </c>
      <c r="I13" s="13" t="n"/>
      <c r="J13" s="13" t="n"/>
      <c r="K13" s="13" t="n"/>
      <c r="L13" s="13" t="n"/>
      <c r="M13" s="13" t="n"/>
      <c r="N13" s="17" t="n"/>
      <c r="O13" s="17" t="n"/>
      <c r="P13" s="13" t="n"/>
      <c r="Q13" s="13" t="n"/>
      <c r="R13" s="13" t="n"/>
      <c r="S13" s="13" t="n"/>
      <c r="T13" s="13" t="n"/>
      <c r="U13" s="17" t="n"/>
      <c r="V13" s="17" t="n"/>
      <c r="W13" s="13" t="n"/>
      <c r="X13" s="13" t="n"/>
      <c r="Y13" s="13" t="n"/>
      <c r="Z13" s="13" t="n"/>
      <c r="AA13" s="13" t="n"/>
      <c r="AB13" s="17" t="n"/>
      <c r="AC13" s="17" t="n"/>
      <c r="AD13" s="13" t="n"/>
      <c r="AE13" s="13" t="n"/>
      <c r="AF13" s="13" t="n"/>
      <c r="AG13" s="13" t="n"/>
      <c r="AH13" s="13" t="n"/>
      <c r="AI13" s="17" t="n"/>
      <c r="AJ13" s="17" t="n"/>
      <c r="AK13" s="13" t="n"/>
      <c r="AL13" s="13" t="n"/>
      <c r="AM13" s="13" t="n"/>
      <c r="AN13" s="13" t="n"/>
      <c r="AO13" s="13" t="n"/>
      <c r="AP13" s="17" t="n"/>
      <c r="AQ13" s="17" t="n"/>
      <c r="AR13" s="13" t="n"/>
      <c r="AS13" s="13" t="n"/>
      <c r="AT13" s="13" t="n"/>
      <c r="AU13" s="13" t="n"/>
      <c r="AV13" s="13" t="n"/>
      <c r="AW13" s="17" t="n"/>
      <c r="AX13" s="17" t="n"/>
      <c r="AY13" s="13" t="n"/>
      <c r="AZ13" s="13" t="n"/>
      <c r="BA13" s="13" t="n"/>
      <c r="BB13" s="13" t="n"/>
      <c r="BC13" s="13" t="n"/>
      <c r="BD13" s="17" t="n"/>
      <c r="BE13" s="17" t="n"/>
      <c r="BF13" s="13" t="n"/>
      <c r="BG13" s="13" t="n"/>
      <c r="BH13" s="13" t="n"/>
      <c r="BI13" s="13" t="n"/>
      <c r="BJ13" s="13" t="n"/>
      <c r="BK13" s="17" t="n"/>
      <c r="BL13" s="17" t="n"/>
      <c r="BM13" s="13" t="n"/>
      <c r="BN13" s="13" t="n"/>
      <c r="BO13" s="13" t="n"/>
      <c r="BP13" s="13" t="n"/>
      <c r="BQ13" s="13" t="n"/>
      <c r="BR13" s="17" t="n"/>
      <c r="BS13" s="17" t="n"/>
    </row>
    <row r="14" ht="30" customHeight="1">
      <c r="A14" s="13" t="inlineStr">
        <is>
          <t>2.4</t>
        </is>
      </c>
      <c r="B14" s="14" t="inlineStr">
        <is>
          <t>Seed ≥ 2.000 bản ghi, test CRUD phim/rạp/tìm kiếm</t>
        </is>
      </c>
      <c r="C14" s="13" t="inlineStr">
        <is>
          <t>Đạt</t>
        </is>
      </c>
      <c r="D14" s="13" t="inlineStr">
        <is>
          <t>1d</t>
        </is>
      </c>
      <c r="E14" s="15" t="n">
        <v>46297</v>
      </c>
      <c r="F14" s="15" t="n">
        <v>46297</v>
      </c>
      <c r="G14" s="13" t="inlineStr">
        <is>
          <t>Chưa thực hiện</t>
        </is>
      </c>
      <c r="H14" s="16" t="n">
        <v>0</v>
      </c>
      <c r="I14" s="13" t="n"/>
      <c r="J14" s="13" t="n"/>
      <c r="K14" s="13" t="n"/>
      <c r="L14" s="13" t="n"/>
      <c r="M14" s="13" t="n"/>
      <c r="N14" s="17" t="n"/>
      <c r="O14" s="17" t="n"/>
      <c r="P14" s="13" t="n"/>
      <c r="Q14" s="13" t="n"/>
      <c r="R14" s="13" t="n"/>
      <c r="S14" s="13" t="n"/>
      <c r="T14" s="13" t="n"/>
      <c r="U14" s="17" t="n"/>
      <c r="V14" s="17" t="n"/>
      <c r="W14" s="13" t="n"/>
      <c r="X14" s="13" t="n"/>
      <c r="Y14" s="13" t="n"/>
      <c r="Z14" s="13" t="n"/>
      <c r="AA14" s="13" t="n"/>
      <c r="AB14" s="17" t="n"/>
      <c r="AC14" s="17" t="n"/>
      <c r="AD14" s="13" t="n"/>
      <c r="AE14" s="13" t="n"/>
      <c r="AF14" s="13" t="n"/>
      <c r="AG14" s="13" t="n"/>
      <c r="AH14" s="13" t="n"/>
      <c r="AI14" s="17" t="n"/>
      <c r="AJ14" s="17" t="n"/>
      <c r="AK14" s="13" t="n"/>
      <c r="AL14" s="13" t="n"/>
      <c r="AM14" s="13" t="n"/>
      <c r="AN14" s="13" t="n"/>
      <c r="AO14" s="13" t="n"/>
      <c r="AP14" s="17" t="n"/>
      <c r="AQ14" s="17" t="n"/>
      <c r="AR14" s="13" t="n"/>
      <c r="AS14" s="13" t="n"/>
      <c r="AT14" s="13" t="n"/>
      <c r="AU14" s="13" t="n"/>
      <c r="AV14" s="13" t="n"/>
      <c r="AW14" s="17" t="n"/>
      <c r="AX14" s="17" t="n"/>
      <c r="AY14" s="13" t="n"/>
      <c r="AZ14" s="13" t="n"/>
      <c r="BA14" s="13" t="n"/>
      <c r="BB14" s="13" t="n"/>
      <c r="BC14" s="13" t="n"/>
      <c r="BD14" s="17" t="n"/>
      <c r="BE14" s="17" t="n"/>
      <c r="BF14" s="13" t="n"/>
      <c r="BG14" s="13" t="n"/>
      <c r="BH14" s="13" t="n"/>
      <c r="BI14" s="13" t="n"/>
      <c r="BJ14" s="13" t="n"/>
      <c r="BK14" s="17" t="n"/>
      <c r="BL14" s="17" t="n"/>
      <c r="BM14" s="13" t="n"/>
      <c r="BN14" s="13" t="n"/>
      <c r="BO14" s="13" t="n"/>
      <c r="BP14" s="13" t="n"/>
      <c r="BQ14" s="13" t="n"/>
      <c r="BR14" s="17" t="n"/>
      <c r="BS14" s="17" t="n"/>
    </row>
    <row r="15" ht="30" customHeight="1">
      <c r="A15" s="9" t="inlineStr">
        <is>
          <t>3</t>
        </is>
      </c>
      <c r="B15" s="10" t="inlineStr">
        <is>
          <t>Lịch chiếu, giá vé và job nền</t>
        </is>
      </c>
      <c r="C15" s="9" t="inlineStr">
        <is>
          <t>Đạt</t>
        </is>
      </c>
      <c r="D15" s="9" t="inlineStr">
        <is>
          <t>1w</t>
        </is>
      </c>
      <c r="E15" s="11" t="n">
        <v>46300</v>
      </c>
      <c r="F15" s="11" t="n">
        <v>46306</v>
      </c>
      <c r="G15" s="9">
        <f>IF(H15&gt;=1,"Đã hoàn thành",IF(H15&gt;0,"Đang thực hiện","Chưa thực hiện"))</f>
        <v/>
      </c>
      <c r="H15" s="12">
        <f>IFERROR(AVERAGE(H16:H20),0)</f>
        <v/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</row>
    <row r="16" ht="30" customHeight="1">
      <c r="A16" s="13" t="inlineStr">
        <is>
          <t>3.1</t>
        </is>
      </c>
      <c r="B16" s="14" t="inlineStr">
        <is>
          <t>CRUD suất chiếu: API/UI, chặn trùng phòng/thời gian dọn phòng</t>
        </is>
      </c>
      <c r="C16" s="13" t="inlineStr">
        <is>
          <t>Đạt</t>
        </is>
      </c>
      <c r="D16" s="13" t="inlineStr">
        <is>
          <t>1d</t>
        </is>
      </c>
      <c r="E16" s="15" t="n">
        <v>46300</v>
      </c>
      <c r="F16" s="15" t="n">
        <v>46300</v>
      </c>
      <c r="G16" s="13" t="inlineStr">
        <is>
          <t>Chưa thực hiện</t>
        </is>
      </c>
      <c r="H16" s="16" t="n">
        <v>0</v>
      </c>
      <c r="I16" s="13" t="n"/>
      <c r="J16" s="13" t="n"/>
      <c r="K16" s="13" t="n"/>
      <c r="L16" s="13" t="n"/>
      <c r="M16" s="13" t="n"/>
      <c r="N16" s="17" t="n"/>
      <c r="O16" s="17" t="n"/>
      <c r="P16" s="13" t="n"/>
      <c r="Q16" s="13" t="n"/>
      <c r="R16" s="13" t="n"/>
      <c r="S16" s="13" t="n"/>
      <c r="T16" s="13" t="n"/>
      <c r="U16" s="17" t="n"/>
      <c r="V16" s="17" t="n"/>
      <c r="W16" s="13" t="n"/>
      <c r="X16" s="13" t="n"/>
      <c r="Y16" s="13" t="n"/>
      <c r="Z16" s="13" t="n"/>
      <c r="AA16" s="13" t="n"/>
      <c r="AB16" s="17" t="n"/>
      <c r="AC16" s="17" t="n"/>
      <c r="AD16" s="13" t="n"/>
      <c r="AE16" s="13" t="n"/>
      <c r="AF16" s="13" t="n"/>
      <c r="AG16" s="13" t="n"/>
      <c r="AH16" s="13" t="n"/>
      <c r="AI16" s="17" t="n"/>
      <c r="AJ16" s="17" t="n"/>
      <c r="AK16" s="13" t="n"/>
      <c r="AL16" s="13" t="n"/>
      <c r="AM16" s="13" t="n"/>
      <c r="AN16" s="13" t="n"/>
      <c r="AO16" s="13" t="n"/>
      <c r="AP16" s="17" t="n"/>
      <c r="AQ16" s="17" t="n"/>
      <c r="AR16" s="13" t="n"/>
      <c r="AS16" s="13" t="n"/>
      <c r="AT16" s="13" t="n"/>
      <c r="AU16" s="13" t="n"/>
      <c r="AV16" s="13" t="n"/>
      <c r="AW16" s="17" t="n"/>
      <c r="AX16" s="17" t="n"/>
      <c r="AY16" s="13" t="n"/>
      <c r="AZ16" s="13" t="n"/>
      <c r="BA16" s="13" t="n"/>
      <c r="BB16" s="13" t="n"/>
      <c r="BC16" s="13" t="n"/>
      <c r="BD16" s="17" t="n"/>
      <c r="BE16" s="17" t="n"/>
      <c r="BF16" s="13" t="n"/>
      <c r="BG16" s="13" t="n"/>
      <c r="BH16" s="13" t="n"/>
      <c r="BI16" s="13" t="n"/>
      <c r="BJ16" s="13" t="n"/>
      <c r="BK16" s="17" t="n"/>
      <c r="BL16" s="17" t="n"/>
      <c r="BM16" s="13" t="n"/>
      <c r="BN16" s="13" t="n"/>
      <c r="BO16" s="13" t="n"/>
      <c r="BP16" s="13" t="n"/>
      <c r="BQ16" s="13" t="n"/>
      <c r="BR16" s="17" t="n"/>
      <c r="BS16" s="17" t="n"/>
    </row>
    <row r="17" ht="30" customHeight="1">
      <c r="A17" s="13" t="inlineStr">
        <is>
          <t>3.2</t>
        </is>
      </c>
      <c r="B17" s="14" t="inlineStr">
        <is>
          <t>Bảng giá theo loại ghế/khung giờ/ngày lễ, tính tiền bằng Decimal</t>
        </is>
      </c>
      <c r="C17" s="13" t="inlineStr">
        <is>
          <t>Đạt</t>
        </is>
      </c>
      <c r="D17" s="13" t="inlineStr">
        <is>
          <t>1d</t>
        </is>
      </c>
      <c r="E17" s="15" t="n">
        <v>46301</v>
      </c>
      <c r="F17" s="15" t="n">
        <v>46301</v>
      </c>
      <c r="G17" s="13" t="inlineStr">
        <is>
          <t>Chưa thực hiện</t>
        </is>
      </c>
      <c r="H17" s="16" t="n">
        <v>0</v>
      </c>
      <c r="I17" s="13" t="n"/>
      <c r="J17" s="13" t="n"/>
      <c r="K17" s="13" t="n"/>
      <c r="L17" s="13" t="n"/>
      <c r="M17" s="13" t="n"/>
      <c r="N17" s="17" t="n"/>
      <c r="O17" s="17" t="n"/>
      <c r="P17" s="13" t="n"/>
      <c r="Q17" s="13" t="n"/>
      <c r="R17" s="13" t="n"/>
      <c r="S17" s="13" t="n"/>
      <c r="T17" s="13" t="n"/>
      <c r="U17" s="17" t="n"/>
      <c r="V17" s="17" t="n"/>
      <c r="W17" s="13" t="n"/>
      <c r="X17" s="13" t="n"/>
      <c r="Y17" s="13" t="n"/>
      <c r="Z17" s="13" t="n"/>
      <c r="AA17" s="13" t="n"/>
      <c r="AB17" s="17" t="n"/>
      <c r="AC17" s="17" t="n"/>
      <c r="AD17" s="13" t="n"/>
      <c r="AE17" s="13" t="n"/>
      <c r="AF17" s="13" t="n"/>
      <c r="AG17" s="13" t="n"/>
      <c r="AH17" s="13" t="n"/>
      <c r="AI17" s="17" t="n"/>
      <c r="AJ17" s="17" t="n"/>
      <c r="AK17" s="13" t="n"/>
      <c r="AL17" s="13" t="n"/>
      <c r="AM17" s="13" t="n"/>
      <c r="AN17" s="13" t="n"/>
      <c r="AO17" s="13" t="n"/>
      <c r="AP17" s="17" t="n"/>
      <c r="AQ17" s="17" t="n"/>
      <c r="AR17" s="13" t="n"/>
      <c r="AS17" s="13" t="n"/>
      <c r="AT17" s="13" t="n"/>
      <c r="AU17" s="13" t="n"/>
      <c r="AV17" s="13" t="n"/>
      <c r="AW17" s="17" t="n"/>
      <c r="AX17" s="17" t="n"/>
      <c r="AY17" s="13" t="n"/>
      <c r="AZ17" s="13" t="n"/>
      <c r="BA17" s="13" t="n"/>
      <c r="BB17" s="13" t="n"/>
      <c r="BC17" s="13" t="n"/>
      <c r="BD17" s="17" t="n"/>
      <c r="BE17" s="17" t="n"/>
      <c r="BF17" s="13" t="n"/>
      <c r="BG17" s="13" t="n"/>
      <c r="BH17" s="13" t="n"/>
      <c r="BI17" s="13" t="n"/>
      <c r="BJ17" s="13" t="n"/>
      <c r="BK17" s="17" t="n"/>
      <c r="BL17" s="17" t="n"/>
      <c r="BM17" s="13" t="n"/>
      <c r="BN17" s="13" t="n"/>
      <c r="BO17" s="13" t="n"/>
      <c r="BP17" s="13" t="n"/>
      <c r="BQ17" s="13" t="n"/>
      <c r="BR17" s="17" t="n"/>
      <c r="BS17" s="17" t="n"/>
    </row>
    <row r="18" ht="30" customHeight="1">
      <c r="A18" s="13" t="inlineStr">
        <is>
          <t>3.3</t>
        </is>
      </c>
      <c r="B18" s="14" t="inlineStr">
        <is>
          <t>Trang chọn suất chiếu theo rạp/ngày/định dạng (2D/3D/IMAX)</t>
        </is>
      </c>
      <c r="C18" s="13" t="inlineStr">
        <is>
          <t>Đạt</t>
        </is>
      </c>
      <c r="D18" s="13" t="inlineStr">
        <is>
          <t>1d</t>
        </is>
      </c>
      <c r="E18" s="15" t="n">
        <v>46302</v>
      </c>
      <c r="F18" s="15" t="n">
        <v>46302</v>
      </c>
      <c r="G18" s="13" t="inlineStr">
        <is>
          <t>Chưa thực hiện</t>
        </is>
      </c>
      <c r="H18" s="16" t="n">
        <v>0</v>
      </c>
      <c r="I18" s="13" t="n"/>
      <c r="J18" s="13" t="n"/>
      <c r="K18" s="13" t="n"/>
      <c r="L18" s="13" t="n"/>
      <c r="M18" s="13" t="n"/>
      <c r="N18" s="17" t="n"/>
      <c r="O18" s="17" t="n"/>
      <c r="P18" s="13" t="n"/>
      <c r="Q18" s="13" t="n"/>
      <c r="R18" s="13" t="n"/>
      <c r="S18" s="13" t="n"/>
      <c r="T18" s="13" t="n"/>
      <c r="U18" s="17" t="n"/>
      <c r="V18" s="17" t="n"/>
      <c r="W18" s="13" t="n"/>
      <c r="X18" s="13" t="n"/>
      <c r="Y18" s="13" t="n"/>
      <c r="Z18" s="13" t="n"/>
      <c r="AA18" s="13" t="n"/>
      <c r="AB18" s="17" t="n"/>
      <c r="AC18" s="17" t="n"/>
      <c r="AD18" s="13" t="n"/>
      <c r="AE18" s="13" t="n"/>
      <c r="AF18" s="13" t="n"/>
      <c r="AG18" s="13" t="n"/>
      <c r="AH18" s="13" t="n"/>
      <c r="AI18" s="17" t="n"/>
      <c r="AJ18" s="17" t="n"/>
      <c r="AK18" s="13" t="n"/>
      <c r="AL18" s="13" t="n"/>
      <c r="AM18" s="13" t="n"/>
      <c r="AN18" s="13" t="n"/>
      <c r="AO18" s="13" t="n"/>
      <c r="AP18" s="17" t="n"/>
      <c r="AQ18" s="17" t="n"/>
      <c r="AR18" s="13" t="n"/>
      <c r="AS18" s="13" t="n"/>
      <c r="AT18" s="13" t="n"/>
      <c r="AU18" s="13" t="n"/>
      <c r="AV18" s="13" t="n"/>
      <c r="AW18" s="17" t="n"/>
      <c r="AX18" s="17" t="n"/>
      <c r="AY18" s="13" t="n"/>
      <c r="AZ18" s="13" t="n"/>
      <c r="BA18" s="13" t="n"/>
      <c r="BB18" s="13" t="n"/>
      <c r="BC18" s="13" t="n"/>
      <c r="BD18" s="17" t="n"/>
      <c r="BE18" s="17" t="n"/>
      <c r="BF18" s="13" t="n"/>
      <c r="BG18" s="13" t="n"/>
      <c r="BH18" s="13" t="n"/>
      <c r="BI18" s="13" t="n"/>
      <c r="BJ18" s="13" t="n"/>
      <c r="BK18" s="17" t="n"/>
      <c r="BL18" s="17" t="n"/>
      <c r="BM18" s="13" t="n"/>
      <c r="BN18" s="13" t="n"/>
      <c r="BO18" s="13" t="n"/>
      <c r="BP18" s="13" t="n"/>
      <c r="BQ18" s="13" t="n"/>
      <c r="BR18" s="17" t="n"/>
      <c r="BS18" s="17" t="n"/>
    </row>
    <row r="19" ht="30" customHeight="1">
      <c r="A19" s="13" t="inlineStr">
        <is>
          <t>3.4</t>
        </is>
      </c>
      <c r="B19" s="14" t="inlineStr">
        <is>
          <t>Job/outbox/files: Celery, Redis, storage poster/vé và spike PDF/QR</t>
        </is>
      </c>
      <c r="C19" s="13" t="inlineStr">
        <is>
          <t>Đạt</t>
        </is>
      </c>
      <c r="D19" s="13" t="inlineStr">
        <is>
          <t>1d</t>
        </is>
      </c>
      <c r="E19" s="15" t="n">
        <v>46303</v>
      </c>
      <c r="F19" s="15" t="n">
        <v>46303</v>
      </c>
      <c r="G19" s="13" t="inlineStr">
        <is>
          <t>Chưa thực hiện</t>
        </is>
      </c>
      <c r="H19" s="16" t="n">
        <v>0</v>
      </c>
      <c r="I19" s="13" t="n"/>
      <c r="J19" s="13" t="n"/>
      <c r="K19" s="13" t="n"/>
      <c r="L19" s="13" t="n"/>
      <c r="M19" s="13" t="n"/>
      <c r="N19" s="17" t="n"/>
      <c r="O19" s="17" t="n"/>
      <c r="P19" s="13" t="n"/>
      <c r="Q19" s="13" t="n"/>
      <c r="R19" s="13" t="n"/>
      <c r="S19" s="13" t="n"/>
      <c r="T19" s="13" t="n"/>
      <c r="U19" s="17" t="n"/>
      <c r="V19" s="17" t="n"/>
      <c r="W19" s="13" t="n"/>
      <c r="X19" s="13" t="n"/>
      <c r="Y19" s="13" t="n"/>
      <c r="Z19" s="13" t="n"/>
      <c r="AA19" s="13" t="n"/>
      <c r="AB19" s="17" t="n"/>
      <c r="AC19" s="17" t="n"/>
      <c r="AD19" s="13" t="n"/>
      <c r="AE19" s="13" t="n"/>
      <c r="AF19" s="13" t="n"/>
      <c r="AG19" s="13" t="n"/>
      <c r="AH19" s="13" t="n"/>
      <c r="AI19" s="17" t="n"/>
      <c r="AJ19" s="17" t="n"/>
      <c r="AK19" s="13" t="n"/>
      <c r="AL19" s="13" t="n"/>
      <c r="AM19" s="13" t="n"/>
      <c r="AN19" s="13" t="n"/>
      <c r="AO19" s="13" t="n"/>
      <c r="AP19" s="17" t="n"/>
      <c r="AQ19" s="17" t="n"/>
      <c r="AR19" s="13" t="n"/>
      <c r="AS19" s="13" t="n"/>
      <c r="AT19" s="13" t="n"/>
      <c r="AU19" s="13" t="n"/>
      <c r="AV19" s="13" t="n"/>
      <c r="AW19" s="17" t="n"/>
      <c r="AX19" s="17" t="n"/>
      <c r="AY19" s="13" t="n"/>
      <c r="AZ19" s="13" t="n"/>
      <c r="BA19" s="13" t="n"/>
      <c r="BB19" s="13" t="n"/>
      <c r="BC19" s="13" t="n"/>
      <c r="BD19" s="17" t="n"/>
      <c r="BE19" s="17" t="n"/>
      <c r="BF19" s="13" t="n"/>
      <c r="BG19" s="13" t="n"/>
      <c r="BH19" s="13" t="n"/>
      <c r="BI19" s="13" t="n"/>
      <c r="BJ19" s="13" t="n"/>
      <c r="BK19" s="17" t="n"/>
      <c r="BL19" s="17" t="n"/>
      <c r="BM19" s="13" t="n"/>
      <c r="BN19" s="13" t="n"/>
      <c r="BO19" s="13" t="n"/>
      <c r="BP19" s="13" t="n"/>
      <c r="BQ19" s="13" t="n"/>
      <c r="BR19" s="17" t="n"/>
      <c r="BS19" s="17" t="n"/>
    </row>
    <row r="20" ht="30" customHeight="1">
      <c r="A20" s="13" t="inlineStr">
        <is>
          <t>3.5</t>
        </is>
      </c>
      <c r="B20" s="14" t="inlineStr">
        <is>
          <t>Test lịch chiếu/giá vé/job và review M3</t>
        </is>
      </c>
      <c r="C20" s="13" t="inlineStr">
        <is>
          <t>Đạt</t>
        </is>
      </c>
      <c r="D20" s="13" t="inlineStr">
        <is>
          <t>1d</t>
        </is>
      </c>
      <c r="E20" s="15" t="n">
        <v>46304</v>
      </c>
      <c r="F20" s="15" t="n">
        <v>46304</v>
      </c>
      <c r="G20" s="13" t="inlineStr">
        <is>
          <t>Chưa thực hiện</t>
        </is>
      </c>
      <c r="H20" s="16" t="n">
        <v>0</v>
      </c>
      <c r="I20" s="13" t="n"/>
      <c r="J20" s="13" t="n"/>
      <c r="K20" s="13" t="n"/>
      <c r="L20" s="13" t="n"/>
      <c r="M20" s="13" t="n"/>
      <c r="N20" s="17" t="n"/>
      <c r="O20" s="17" t="n"/>
      <c r="P20" s="13" t="n"/>
      <c r="Q20" s="13" t="n"/>
      <c r="R20" s="13" t="n"/>
      <c r="S20" s="13" t="n"/>
      <c r="T20" s="13" t="n"/>
      <c r="U20" s="17" t="n"/>
      <c r="V20" s="17" t="n"/>
      <c r="W20" s="13" t="n"/>
      <c r="X20" s="13" t="n"/>
      <c r="Y20" s="13" t="n"/>
      <c r="Z20" s="13" t="n"/>
      <c r="AA20" s="13" t="n"/>
      <c r="AB20" s="17" t="n"/>
      <c r="AC20" s="17" t="n"/>
      <c r="AD20" s="13" t="n"/>
      <c r="AE20" s="13" t="n"/>
      <c r="AF20" s="13" t="n"/>
      <c r="AG20" s="13" t="n"/>
      <c r="AH20" s="13" t="n"/>
      <c r="AI20" s="17" t="n"/>
      <c r="AJ20" s="17" t="n"/>
      <c r="AK20" s="13" t="n"/>
      <c r="AL20" s="13" t="n"/>
      <c r="AM20" s="13" t="n"/>
      <c r="AN20" s="13" t="n"/>
      <c r="AO20" s="13" t="n"/>
      <c r="AP20" s="17" t="n"/>
      <c r="AQ20" s="17" t="n"/>
      <c r="AR20" s="13" t="n"/>
      <c r="AS20" s="13" t="n"/>
      <c r="AT20" s="13" t="n"/>
      <c r="AU20" s="13" t="n"/>
      <c r="AV20" s="13" t="n"/>
      <c r="AW20" s="17" t="n"/>
      <c r="AX20" s="17" t="n"/>
      <c r="AY20" s="13" t="n"/>
      <c r="AZ20" s="13" t="n"/>
      <c r="BA20" s="13" t="n"/>
      <c r="BB20" s="13" t="n"/>
      <c r="BC20" s="13" t="n"/>
      <c r="BD20" s="17" t="n"/>
      <c r="BE20" s="17" t="n"/>
      <c r="BF20" s="13" t="n"/>
      <c r="BG20" s="13" t="n"/>
      <c r="BH20" s="13" t="n"/>
      <c r="BI20" s="13" t="n"/>
      <c r="BJ20" s="13" t="n"/>
      <c r="BK20" s="17" t="n"/>
      <c r="BL20" s="17" t="n"/>
      <c r="BM20" s="13" t="n"/>
      <c r="BN20" s="13" t="n"/>
      <c r="BO20" s="13" t="n"/>
      <c r="BP20" s="13" t="n"/>
      <c r="BQ20" s="13" t="n"/>
      <c r="BR20" s="17" t="n"/>
      <c r="BS20" s="17" t="n"/>
    </row>
    <row r="21" ht="30" customHeight="1">
      <c r="A21" s="9" t="inlineStr">
        <is>
          <t>4</t>
        </is>
      </c>
      <c r="B21" s="10" t="inlineStr">
        <is>
          <t>Chọn ghế và giữ chỗ</t>
        </is>
      </c>
      <c r="C21" s="9" t="inlineStr">
        <is>
          <t>Đạt</t>
        </is>
      </c>
      <c r="D21" s="9" t="inlineStr">
        <is>
          <t>1w</t>
        </is>
      </c>
      <c r="E21" s="11" t="n">
        <v>46307</v>
      </c>
      <c r="F21" s="11" t="n">
        <v>46313</v>
      </c>
      <c r="G21" s="9">
        <f>IF(H21&gt;=1,"Đã hoàn thành",IF(H21&gt;0,"Đang thực hiện","Chưa thực hiện"))</f>
        <v/>
      </c>
      <c r="H21" s="12">
        <f>IFERROR(AVERAGE(H22:H25),0)</f>
        <v/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</row>
    <row r="22" ht="30" customHeight="1">
      <c r="A22" s="13" t="inlineStr">
        <is>
          <t>4.1</t>
        </is>
      </c>
      <c r="B22" s="14" t="inlineStr">
        <is>
          <t>Sơ đồ ghế realtime (WebSocket), trạng thái trống/đang giữ/đã bán</t>
        </is>
      </c>
      <c r="C22" s="13" t="inlineStr">
        <is>
          <t>Đạt</t>
        </is>
      </c>
      <c r="D22" s="13" t="inlineStr">
        <is>
          <t>1d</t>
        </is>
      </c>
      <c r="E22" s="15" t="n">
        <v>46307</v>
      </c>
      <c r="F22" s="15" t="n">
        <v>46307</v>
      </c>
      <c r="G22" s="13" t="inlineStr">
        <is>
          <t>Chưa thực hiện</t>
        </is>
      </c>
      <c r="H22" s="16" t="n">
        <v>0</v>
      </c>
      <c r="I22" s="13" t="n"/>
      <c r="J22" s="13" t="n"/>
      <c r="K22" s="13" t="n"/>
      <c r="L22" s="13" t="n"/>
      <c r="M22" s="13" t="n"/>
      <c r="N22" s="17" t="n"/>
      <c r="O22" s="17" t="n"/>
      <c r="P22" s="13" t="n"/>
      <c r="Q22" s="13" t="n"/>
      <c r="R22" s="13" t="n"/>
      <c r="S22" s="13" t="n"/>
      <c r="T22" s="13" t="n"/>
      <c r="U22" s="17" t="n"/>
      <c r="V22" s="17" t="n"/>
      <c r="W22" s="13" t="n"/>
      <c r="X22" s="13" t="n"/>
      <c r="Y22" s="13" t="n"/>
      <c r="Z22" s="13" t="n"/>
      <c r="AA22" s="13" t="n"/>
      <c r="AB22" s="17" t="n"/>
      <c r="AC22" s="17" t="n"/>
      <c r="AD22" s="13" t="n"/>
      <c r="AE22" s="13" t="n"/>
      <c r="AF22" s="13" t="n"/>
      <c r="AG22" s="13" t="n"/>
      <c r="AH22" s="13" t="n"/>
      <c r="AI22" s="17" t="n"/>
      <c r="AJ22" s="17" t="n"/>
      <c r="AK22" s="13" t="n"/>
      <c r="AL22" s="13" t="n"/>
      <c r="AM22" s="13" t="n"/>
      <c r="AN22" s="13" t="n"/>
      <c r="AO22" s="13" t="n"/>
      <c r="AP22" s="17" t="n"/>
      <c r="AQ22" s="17" t="n"/>
      <c r="AR22" s="13" t="n"/>
      <c r="AS22" s="13" t="n"/>
      <c r="AT22" s="13" t="n"/>
      <c r="AU22" s="13" t="n"/>
      <c r="AV22" s="13" t="n"/>
      <c r="AW22" s="17" t="n"/>
      <c r="AX22" s="17" t="n"/>
      <c r="AY22" s="13" t="n"/>
      <c r="AZ22" s="13" t="n"/>
      <c r="BA22" s="13" t="n"/>
      <c r="BB22" s="13" t="n"/>
      <c r="BC22" s="13" t="n"/>
      <c r="BD22" s="17" t="n"/>
      <c r="BE22" s="17" t="n"/>
      <c r="BF22" s="13" t="n"/>
      <c r="BG22" s="13" t="n"/>
      <c r="BH22" s="13" t="n"/>
      <c r="BI22" s="13" t="n"/>
      <c r="BJ22" s="13" t="n"/>
      <c r="BK22" s="17" t="n"/>
      <c r="BL22" s="17" t="n"/>
      <c r="BM22" s="13" t="n"/>
      <c r="BN22" s="13" t="n"/>
      <c r="BO22" s="13" t="n"/>
      <c r="BP22" s="13" t="n"/>
      <c r="BQ22" s="13" t="n"/>
      <c r="BR22" s="17" t="n"/>
      <c r="BS22" s="17" t="n"/>
    </row>
    <row r="23" ht="30" customHeight="1">
      <c r="A23" s="13" t="inlineStr">
        <is>
          <t>4.2</t>
        </is>
      </c>
      <c r="B23" s="14" t="inlineStr">
        <is>
          <t>Giữ ghế 10 phút: Redis lock/TTL, row_version, job nhả ghế hết hạn</t>
        </is>
      </c>
      <c r="C23" s="13" t="inlineStr">
        <is>
          <t>Đạt</t>
        </is>
      </c>
      <c r="D23" s="13" t="inlineStr">
        <is>
          <t>1d</t>
        </is>
      </c>
      <c r="E23" s="15" t="n">
        <v>46308</v>
      </c>
      <c r="F23" s="15" t="n">
        <v>46308</v>
      </c>
      <c r="G23" s="13" t="inlineStr">
        <is>
          <t>Chưa thực hiện</t>
        </is>
      </c>
      <c r="H23" s="16" t="n">
        <v>0</v>
      </c>
      <c r="I23" s="13" t="n"/>
      <c r="J23" s="13" t="n"/>
      <c r="K23" s="13" t="n"/>
      <c r="L23" s="13" t="n"/>
      <c r="M23" s="13" t="n"/>
      <c r="N23" s="17" t="n"/>
      <c r="O23" s="17" t="n"/>
      <c r="P23" s="13" t="n"/>
      <c r="Q23" s="13" t="n"/>
      <c r="R23" s="13" t="n"/>
      <c r="S23" s="13" t="n"/>
      <c r="T23" s="13" t="n"/>
      <c r="U23" s="17" t="n"/>
      <c r="V23" s="17" t="n"/>
      <c r="W23" s="13" t="n"/>
      <c r="X23" s="13" t="n"/>
      <c r="Y23" s="13" t="n"/>
      <c r="Z23" s="13" t="n"/>
      <c r="AA23" s="13" t="n"/>
      <c r="AB23" s="17" t="n"/>
      <c r="AC23" s="17" t="n"/>
      <c r="AD23" s="13" t="n"/>
      <c r="AE23" s="13" t="n"/>
      <c r="AF23" s="13" t="n"/>
      <c r="AG23" s="13" t="n"/>
      <c r="AH23" s="13" t="n"/>
      <c r="AI23" s="17" t="n"/>
      <c r="AJ23" s="17" t="n"/>
      <c r="AK23" s="13" t="n"/>
      <c r="AL23" s="13" t="n"/>
      <c r="AM23" s="13" t="n"/>
      <c r="AN23" s="13" t="n"/>
      <c r="AO23" s="13" t="n"/>
      <c r="AP23" s="17" t="n"/>
      <c r="AQ23" s="17" t="n"/>
      <c r="AR23" s="13" t="n"/>
      <c r="AS23" s="13" t="n"/>
      <c r="AT23" s="13" t="n"/>
      <c r="AU23" s="13" t="n"/>
      <c r="AV23" s="13" t="n"/>
      <c r="AW23" s="17" t="n"/>
      <c r="AX23" s="17" t="n"/>
      <c r="AY23" s="13" t="n"/>
      <c r="AZ23" s="13" t="n"/>
      <c r="BA23" s="13" t="n"/>
      <c r="BB23" s="13" t="n"/>
      <c r="BC23" s="13" t="n"/>
      <c r="BD23" s="17" t="n"/>
      <c r="BE23" s="17" t="n"/>
      <c r="BF23" s="13" t="n"/>
      <c r="BG23" s="13" t="n"/>
      <c r="BH23" s="13" t="n"/>
      <c r="BI23" s="13" t="n"/>
      <c r="BJ23" s="13" t="n"/>
      <c r="BK23" s="17" t="n"/>
      <c r="BL23" s="17" t="n"/>
      <c r="BM23" s="13" t="n"/>
      <c r="BN23" s="13" t="n"/>
      <c r="BO23" s="13" t="n"/>
      <c r="BP23" s="13" t="n"/>
      <c r="BQ23" s="13" t="n"/>
      <c r="BR23" s="17" t="n"/>
      <c r="BS23" s="17" t="n"/>
    </row>
    <row r="24" ht="30" customHeight="1">
      <c r="A24" s="13" t="inlineStr">
        <is>
          <t>4.3</t>
        </is>
      </c>
      <c r="B24" s="14" t="inlineStr">
        <is>
          <t>Tạo đơn đặt vé + combo bắp nước, áp mã giảm giá/voucher</t>
        </is>
      </c>
      <c r="C24" s="13" t="inlineStr">
        <is>
          <t>Đạt</t>
        </is>
      </c>
      <c r="D24" s="13" t="inlineStr">
        <is>
          <t>1d</t>
        </is>
      </c>
      <c r="E24" s="15" t="n">
        <v>46309</v>
      </c>
      <c r="F24" s="15" t="n">
        <v>46309</v>
      </c>
      <c r="G24" s="13" t="inlineStr">
        <is>
          <t>Chưa thực hiện</t>
        </is>
      </c>
      <c r="H24" s="16" t="n">
        <v>0</v>
      </c>
      <c r="I24" s="13" t="n"/>
      <c r="J24" s="13" t="n"/>
      <c r="K24" s="13" t="n"/>
      <c r="L24" s="13" t="n"/>
      <c r="M24" s="13" t="n"/>
      <c r="N24" s="17" t="n"/>
      <c r="O24" s="17" t="n"/>
      <c r="P24" s="13" t="n"/>
      <c r="Q24" s="13" t="n"/>
      <c r="R24" s="13" t="n"/>
      <c r="S24" s="13" t="n"/>
      <c r="T24" s="13" t="n"/>
      <c r="U24" s="17" t="n"/>
      <c r="V24" s="17" t="n"/>
      <c r="W24" s="13" t="n"/>
      <c r="X24" s="13" t="n"/>
      <c r="Y24" s="13" t="n"/>
      <c r="Z24" s="13" t="n"/>
      <c r="AA24" s="13" t="n"/>
      <c r="AB24" s="17" t="n"/>
      <c r="AC24" s="17" t="n"/>
      <c r="AD24" s="13" t="n"/>
      <c r="AE24" s="13" t="n"/>
      <c r="AF24" s="13" t="n"/>
      <c r="AG24" s="13" t="n"/>
      <c r="AH24" s="13" t="n"/>
      <c r="AI24" s="17" t="n"/>
      <c r="AJ24" s="17" t="n"/>
      <c r="AK24" s="13" t="n"/>
      <c r="AL24" s="13" t="n"/>
      <c r="AM24" s="13" t="n"/>
      <c r="AN24" s="13" t="n"/>
      <c r="AO24" s="13" t="n"/>
      <c r="AP24" s="17" t="n"/>
      <c r="AQ24" s="17" t="n"/>
      <c r="AR24" s="13" t="n"/>
      <c r="AS24" s="13" t="n"/>
      <c r="AT24" s="13" t="n"/>
      <c r="AU24" s="13" t="n"/>
      <c r="AV24" s="13" t="n"/>
      <c r="AW24" s="17" t="n"/>
      <c r="AX24" s="17" t="n"/>
      <c r="AY24" s="13" t="n"/>
      <c r="AZ24" s="13" t="n"/>
      <c r="BA24" s="13" t="n"/>
      <c r="BB24" s="13" t="n"/>
      <c r="BC24" s="13" t="n"/>
      <c r="BD24" s="17" t="n"/>
      <c r="BE24" s="17" t="n"/>
      <c r="BF24" s="13" t="n"/>
      <c r="BG24" s="13" t="n"/>
      <c r="BH24" s="13" t="n"/>
      <c r="BI24" s="13" t="n"/>
      <c r="BJ24" s="13" t="n"/>
      <c r="BK24" s="17" t="n"/>
      <c r="BL24" s="17" t="n"/>
      <c r="BM24" s="13" t="n"/>
      <c r="BN24" s="13" t="n"/>
      <c r="BO24" s="13" t="n"/>
      <c r="BP24" s="13" t="n"/>
      <c r="BQ24" s="13" t="n"/>
      <c r="BR24" s="17" t="n"/>
      <c r="BS24" s="17" t="n"/>
    </row>
    <row r="25" ht="30" customHeight="1">
      <c r="A25" s="13" t="inlineStr">
        <is>
          <t>4.4</t>
        </is>
      </c>
      <c r="B25" s="14" t="inlineStr">
        <is>
          <t>Test đồng thời chống double booking, dự phòng lỗi giữ ghế</t>
        </is>
      </c>
      <c r="C25" s="13" t="inlineStr">
        <is>
          <t>Đạt</t>
        </is>
      </c>
      <c r="D25" s="13" t="inlineStr">
        <is>
          <t>2d</t>
        </is>
      </c>
      <c r="E25" s="15" t="n">
        <v>46310</v>
      </c>
      <c r="F25" s="15" t="n">
        <v>46311</v>
      </c>
      <c r="G25" s="13" t="inlineStr">
        <is>
          <t>Chưa thực hiện</t>
        </is>
      </c>
      <c r="H25" s="16" t="n">
        <v>0</v>
      </c>
      <c r="I25" s="13" t="n"/>
      <c r="J25" s="13" t="n"/>
      <c r="K25" s="13" t="n"/>
      <c r="L25" s="13" t="n"/>
      <c r="M25" s="13" t="n"/>
      <c r="N25" s="17" t="n"/>
      <c r="O25" s="17" t="n"/>
      <c r="P25" s="13" t="n"/>
      <c r="Q25" s="13" t="n"/>
      <c r="R25" s="13" t="n"/>
      <c r="S25" s="13" t="n"/>
      <c r="T25" s="13" t="n"/>
      <c r="U25" s="17" t="n"/>
      <c r="V25" s="17" t="n"/>
      <c r="W25" s="13" t="n"/>
      <c r="X25" s="13" t="n"/>
      <c r="Y25" s="13" t="n"/>
      <c r="Z25" s="13" t="n"/>
      <c r="AA25" s="13" t="n"/>
      <c r="AB25" s="17" t="n"/>
      <c r="AC25" s="17" t="n"/>
      <c r="AD25" s="13" t="n"/>
      <c r="AE25" s="13" t="n"/>
      <c r="AF25" s="13" t="n"/>
      <c r="AG25" s="13" t="n"/>
      <c r="AH25" s="13" t="n"/>
      <c r="AI25" s="17" t="n"/>
      <c r="AJ25" s="17" t="n"/>
      <c r="AK25" s="13" t="n"/>
      <c r="AL25" s="13" t="n"/>
      <c r="AM25" s="13" t="n"/>
      <c r="AN25" s="13" t="n"/>
      <c r="AO25" s="13" t="n"/>
      <c r="AP25" s="17" t="n"/>
      <c r="AQ25" s="17" t="n"/>
      <c r="AR25" s="13" t="n"/>
      <c r="AS25" s="13" t="n"/>
      <c r="AT25" s="13" t="n"/>
      <c r="AU25" s="13" t="n"/>
      <c r="AV25" s="13" t="n"/>
      <c r="AW25" s="17" t="n"/>
      <c r="AX25" s="17" t="n"/>
      <c r="AY25" s="13" t="n"/>
      <c r="AZ25" s="13" t="n"/>
      <c r="BA25" s="13" t="n"/>
      <c r="BB25" s="13" t="n"/>
      <c r="BC25" s="13" t="n"/>
      <c r="BD25" s="17" t="n"/>
      <c r="BE25" s="17" t="n"/>
      <c r="BF25" s="13" t="n"/>
      <c r="BG25" s="13" t="n"/>
      <c r="BH25" s="13" t="n"/>
      <c r="BI25" s="13" t="n"/>
      <c r="BJ25" s="13" t="n"/>
      <c r="BK25" s="17" t="n"/>
      <c r="BL25" s="17" t="n"/>
      <c r="BM25" s="13" t="n"/>
      <c r="BN25" s="13" t="n"/>
      <c r="BO25" s="13" t="n"/>
      <c r="BP25" s="13" t="n"/>
      <c r="BQ25" s="13" t="n"/>
      <c r="BR25" s="17" t="n"/>
      <c r="BS25" s="17" t="n"/>
    </row>
    <row r="26" ht="30" customHeight="1">
      <c r="A26" s="5" t="inlineStr">
        <is>
          <t>B</t>
        </is>
      </c>
      <c r="B26" s="6" t="inlineStr">
        <is>
          <t>Sprint 2 – Thanh toán, vận hành rạp, báo cáo</t>
        </is>
      </c>
      <c r="C26" s="5" t="n"/>
      <c r="D26" s="5" t="inlineStr">
        <is>
          <t>3w</t>
        </is>
      </c>
      <c r="E26" s="7" t="n">
        <v>46314</v>
      </c>
      <c r="F26" s="7" t="n">
        <v>46334</v>
      </c>
      <c r="G26" s="5">
        <f>IF(H26&gt;=1,"Đã hoàn thành",IF(H26&gt;0,"Đang thực hiện","Chưa thực hiện"))</f>
        <v/>
      </c>
      <c r="H26" s="8">
        <f>IFERROR(AVERAGE(H27,H32,H37),0)</f>
        <v/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</row>
    <row r="27" ht="30" customHeight="1">
      <c r="A27" s="9" t="inlineStr">
        <is>
          <t>5</t>
        </is>
      </c>
      <c r="B27" s="10" t="inlineStr">
        <is>
          <t>Thanh toán và vé điện tử</t>
        </is>
      </c>
      <c r="C27" s="9" t="inlineStr">
        <is>
          <t>Đạt</t>
        </is>
      </c>
      <c r="D27" s="9" t="inlineStr">
        <is>
          <t>1w</t>
        </is>
      </c>
      <c r="E27" s="11" t="n">
        <v>46314</v>
      </c>
      <c r="F27" s="11" t="n">
        <v>46320</v>
      </c>
      <c r="G27" s="9">
        <f>IF(H27&gt;=1,"Đã hoàn thành",IF(H27&gt;0,"Đang thực hiện","Chưa thực hiện"))</f>
        <v/>
      </c>
      <c r="H27" s="12">
        <f>IFERROR(AVERAGE(H28:H31),0)</f>
        <v/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</row>
    <row r="28" ht="30" customHeight="1">
      <c r="A28" s="13" t="inlineStr">
        <is>
          <t>5.1</t>
        </is>
      </c>
      <c r="B28" s="14" t="inlineStr">
        <is>
          <t>Tích hợp cổng thanh toán sandbox (VNPay/MoMo), webhook, idempotency</t>
        </is>
      </c>
      <c r="C28" s="13" t="inlineStr">
        <is>
          <t>Đạt</t>
        </is>
      </c>
      <c r="D28" s="13" t="inlineStr">
        <is>
          <t>2d</t>
        </is>
      </c>
      <c r="E28" s="15" t="n">
        <v>46314</v>
      </c>
      <c r="F28" s="15" t="n">
        <v>46315</v>
      </c>
      <c r="G28" s="13" t="inlineStr">
        <is>
          <t>Chưa thực hiện</t>
        </is>
      </c>
      <c r="H28" s="16" t="n">
        <v>0</v>
      </c>
      <c r="I28" s="13" t="n"/>
      <c r="J28" s="13" t="n"/>
      <c r="K28" s="13" t="n"/>
      <c r="L28" s="13" t="n"/>
      <c r="M28" s="13" t="n"/>
      <c r="N28" s="17" t="n"/>
      <c r="O28" s="17" t="n"/>
      <c r="P28" s="13" t="n"/>
      <c r="Q28" s="13" t="n"/>
      <c r="R28" s="13" t="n"/>
      <c r="S28" s="13" t="n"/>
      <c r="T28" s="13" t="n"/>
      <c r="U28" s="17" t="n"/>
      <c r="V28" s="17" t="n"/>
      <c r="W28" s="13" t="n"/>
      <c r="X28" s="13" t="n"/>
      <c r="Y28" s="13" t="n"/>
      <c r="Z28" s="13" t="n"/>
      <c r="AA28" s="13" t="n"/>
      <c r="AB28" s="17" t="n"/>
      <c r="AC28" s="17" t="n"/>
      <c r="AD28" s="13" t="n"/>
      <c r="AE28" s="13" t="n"/>
      <c r="AF28" s="13" t="n"/>
      <c r="AG28" s="13" t="n"/>
      <c r="AH28" s="13" t="n"/>
      <c r="AI28" s="17" t="n"/>
      <c r="AJ28" s="17" t="n"/>
      <c r="AK28" s="13" t="n"/>
      <c r="AL28" s="13" t="n"/>
      <c r="AM28" s="13" t="n"/>
      <c r="AN28" s="13" t="n"/>
      <c r="AO28" s="13" t="n"/>
      <c r="AP28" s="17" t="n"/>
      <c r="AQ28" s="17" t="n"/>
      <c r="AR28" s="13" t="n"/>
      <c r="AS28" s="13" t="n"/>
      <c r="AT28" s="13" t="n"/>
      <c r="AU28" s="13" t="n"/>
      <c r="AV28" s="13" t="n"/>
      <c r="AW28" s="17" t="n"/>
      <c r="AX28" s="17" t="n"/>
      <c r="AY28" s="13" t="n"/>
      <c r="AZ28" s="13" t="n"/>
      <c r="BA28" s="13" t="n"/>
      <c r="BB28" s="13" t="n"/>
      <c r="BC28" s="13" t="n"/>
      <c r="BD28" s="17" t="n"/>
      <c r="BE28" s="17" t="n"/>
      <c r="BF28" s="13" t="n"/>
      <c r="BG28" s="13" t="n"/>
      <c r="BH28" s="13" t="n"/>
      <c r="BI28" s="13" t="n"/>
      <c r="BJ28" s="13" t="n"/>
      <c r="BK28" s="17" t="n"/>
      <c r="BL28" s="17" t="n"/>
      <c r="BM28" s="13" t="n"/>
      <c r="BN28" s="13" t="n"/>
      <c r="BO28" s="13" t="n"/>
      <c r="BP28" s="13" t="n"/>
      <c r="BQ28" s="13" t="n"/>
      <c r="BR28" s="17" t="n"/>
      <c r="BS28" s="17" t="n"/>
    </row>
    <row r="29" ht="30" customHeight="1">
      <c r="A29" s="13" t="inlineStr">
        <is>
          <t>5.2</t>
        </is>
      </c>
      <c r="B29" s="14" t="inlineStr">
        <is>
          <t>Vé điện tử QR, PDF private, email xác nhận qua worker</t>
        </is>
      </c>
      <c r="C29" s="13" t="inlineStr">
        <is>
          <t>Đạt</t>
        </is>
      </c>
      <c r="D29" s="13" t="inlineStr">
        <is>
          <t>1d</t>
        </is>
      </c>
      <c r="E29" s="15" t="n">
        <v>46316</v>
      </c>
      <c r="F29" s="15" t="n">
        <v>46316</v>
      </c>
      <c r="G29" s="13" t="inlineStr">
        <is>
          <t>Chưa thực hiện</t>
        </is>
      </c>
      <c r="H29" s="16" t="n">
        <v>0</v>
      </c>
      <c r="I29" s="13" t="n"/>
      <c r="J29" s="13" t="n"/>
      <c r="K29" s="13" t="n"/>
      <c r="L29" s="13" t="n"/>
      <c r="M29" s="13" t="n"/>
      <c r="N29" s="17" t="n"/>
      <c r="O29" s="17" t="n"/>
      <c r="P29" s="13" t="n"/>
      <c r="Q29" s="13" t="n"/>
      <c r="R29" s="13" t="n"/>
      <c r="S29" s="13" t="n"/>
      <c r="T29" s="13" t="n"/>
      <c r="U29" s="17" t="n"/>
      <c r="V29" s="17" t="n"/>
      <c r="W29" s="13" t="n"/>
      <c r="X29" s="13" t="n"/>
      <c r="Y29" s="13" t="n"/>
      <c r="Z29" s="13" t="n"/>
      <c r="AA29" s="13" t="n"/>
      <c r="AB29" s="17" t="n"/>
      <c r="AC29" s="17" t="n"/>
      <c r="AD29" s="13" t="n"/>
      <c r="AE29" s="13" t="n"/>
      <c r="AF29" s="13" t="n"/>
      <c r="AG29" s="13" t="n"/>
      <c r="AH29" s="13" t="n"/>
      <c r="AI29" s="17" t="n"/>
      <c r="AJ29" s="17" t="n"/>
      <c r="AK29" s="13" t="n"/>
      <c r="AL29" s="13" t="n"/>
      <c r="AM29" s="13" t="n"/>
      <c r="AN29" s="13" t="n"/>
      <c r="AO29" s="13" t="n"/>
      <c r="AP29" s="17" t="n"/>
      <c r="AQ29" s="17" t="n"/>
      <c r="AR29" s="13" t="n"/>
      <c r="AS29" s="13" t="n"/>
      <c r="AT29" s="13" t="n"/>
      <c r="AU29" s="13" t="n"/>
      <c r="AV29" s="13" t="n"/>
      <c r="AW29" s="17" t="n"/>
      <c r="AX29" s="17" t="n"/>
      <c r="AY29" s="13" t="n"/>
      <c r="AZ29" s="13" t="n"/>
      <c r="BA29" s="13" t="n"/>
      <c r="BB29" s="13" t="n"/>
      <c r="BC29" s="13" t="n"/>
      <c r="BD29" s="17" t="n"/>
      <c r="BE29" s="17" t="n"/>
      <c r="BF29" s="13" t="n"/>
      <c r="BG29" s="13" t="n"/>
      <c r="BH29" s="13" t="n"/>
      <c r="BI29" s="13" t="n"/>
      <c r="BJ29" s="13" t="n"/>
      <c r="BK29" s="17" t="n"/>
      <c r="BL29" s="17" t="n"/>
      <c r="BM29" s="13" t="n"/>
      <c r="BN29" s="13" t="n"/>
      <c r="BO29" s="13" t="n"/>
      <c r="BP29" s="13" t="n"/>
      <c r="BQ29" s="13" t="n"/>
      <c r="BR29" s="17" t="n"/>
      <c r="BS29" s="17" t="n"/>
    </row>
    <row r="30" ht="30" customHeight="1">
      <c r="A30" s="13" t="inlineStr">
        <is>
          <t>5.3</t>
        </is>
      </c>
      <c r="B30" s="14" t="inlineStr">
        <is>
          <t>Hủy vé/hoàn tiền theo chính sách, timeout thanh toán nhả ghế</t>
        </is>
      </c>
      <c r="C30" s="13" t="inlineStr">
        <is>
          <t>Đạt</t>
        </is>
      </c>
      <c r="D30" s="13" t="inlineStr">
        <is>
          <t>1d</t>
        </is>
      </c>
      <c r="E30" s="15" t="n">
        <v>46317</v>
      </c>
      <c r="F30" s="15" t="n">
        <v>46317</v>
      </c>
      <c r="G30" s="13" t="inlineStr">
        <is>
          <t>Chưa thực hiện</t>
        </is>
      </c>
      <c r="H30" s="16" t="n">
        <v>0</v>
      </c>
      <c r="I30" s="13" t="n"/>
      <c r="J30" s="13" t="n"/>
      <c r="K30" s="13" t="n"/>
      <c r="L30" s="13" t="n"/>
      <c r="M30" s="13" t="n"/>
      <c r="N30" s="17" t="n"/>
      <c r="O30" s="17" t="n"/>
      <c r="P30" s="13" t="n"/>
      <c r="Q30" s="13" t="n"/>
      <c r="R30" s="13" t="n"/>
      <c r="S30" s="13" t="n"/>
      <c r="T30" s="13" t="n"/>
      <c r="U30" s="17" t="n"/>
      <c r="V30" s="17" t="n"/>
      <c r="W30" s="13" t="n"/>
      <c r="X30" s="13" t="n"/>
      <c r="Y30" s="13" t="n"/>
      <c r="Z30" s="13" t="n"/>
      <c r="AA30" s="13" t="n"/>
      <c r="AB30" s="17" t="n"/>
      <c r="AC30" s="17" t="n"/>
      <c r="AD30" s="13" t="n"/>
      <c r="AE30" s="13" t="n"/>
      <c r="AF30" s="13" t="n"/>
      <c r="AG30" s="13" t="n"/>
      <c r="AH30" s="13" t="n"/>
      <c r="AI30" s="17" t="n"/>
      <c r="AJ30" s="17" t="n"/>
      <c r="AK30" s="13" t="n"/>
      <c r="AL30" s="13" t="n"/>
      <c r="AM30" s="13" t="n"/>
      <c r="AN30" s="13" t="n"/>
      <c r="AO30" s="13" t="n"/>
      <c r="AP30" s="17" t="n"/>
      <c r="AQ30" s="17" t="n"/>
      <c r="AR30" s="13" t="n"/>
      <c r="AS30" s="13" t="n"/>
      <c r="AT30" s="13" t="n"/>
      <c r="AU30" s="13" t="n"/>
      <c r="AV30" s="13" t="n"/>
      <c r="AW30" s="17" t="n"/>
      <c r="AX30" s="17" t="n"/>
      <c r="AY30" s="13" t="n"/>
      <c r="AZ30" s="13" t="n"/>
      <c r="BA30" s="13" t="n"/>
      <c r="BB30" s="13" t="n"/>
      <c r="BC30" s="13" t="n"/>
      <c r="BD30" s="17" t="n"/>
      <c r="BE30" s="17" t="n"/>
      <c r="BF30" s="13" t="n"/>
      <c r="BG30" s="13" t="n"/>
      <c r="BH30" s="13" t="n"/>
      <c r="BI30" s="13" t="n"/>
      <c r="BJ30" s="13" t="n"/>
      <c r="BK30" s="17" t="n"/>
      <c r="BL30" s="17" t="n"/>
      <c r="BM30" s="13" t="n"/>
      <c r="BN30" s="13" t="n"/>
      <c r="BO30" s="13" t="n"/>
      <c r="BP30" s="13" t="n"/>
      <c r="BQ30" s="13" t="n"/>
      <c r="BR30" s="17" t="n"/>
      <c r="BS30" s="17" t="n"/>
    </row>
    <row r="31" ht="30" customHeight="1">
      <c r="A31" s="13" t="inlineStr">
        <is>
          <t>5.4</t>
        </is>
      </c>
      <c r="B31" s="14" t="inlineStr">
        <is>
          <t>Đối soát giao dịch, xử lý lỗi thanh toán/email/PDF</t>
        </is>
      </c>
      <c r="C31" s="13" t="inlineStr">
        <is>
          <t>Đạt</t>
        </is>
      </c>
      <c r="D31" s="13" t="inlineStr">
        <is>
          <t>1d</t>
        </is>
      </c>
      <c r="E31" s="15" t="n">
        <v>46318</v>
      </c>
      <c r="F31" s="15" t="n">
        <v>46318</v>
      </c>
      <c r="G31" s="13" t="inlineStr">
        <is>
          <t>Chưa thực hiện</t>
        </is>
      </c>
      <c r="H31" s="16" t="n">
        <v>0</v>
      </c>
      <c r="I31" s="13" t="n"/>
      <c r="J31" s="13" t="n"/>
      <c r="K31" s="13" t="n"/>
      <c r="L31" s="13" t="n"/>
      <c r="M31" s="13" t="n"/>
      <c r="N31" s="17" t="n"/>
      <c r="O31" s="17" t="n"/>
      <c r="P31" s="13" t="n"/>
      <c r="Q31" s="13" t="n"/>
      <c r="R31" s="13" t="n"/>
      <c r="S31" s="13" t="n"/>
      <c r="T31" s="13" t="n"/>
      <c r="U31" s="17" t="n"/>
      <c r="V31" s="17" t="n"/>
      <c r="W31" s="13" t="n"/>
      <c r="X31" s="13" t="n"/>
      <c r="Y31" s="13" t="n"/>
      <c r="Z31" s="13" t="n"/>
      <c r="AA31" s="13" t="n"/>
      <c r="AB31" s="17" t="n"/>
      <c r="AC31" s="17" t="n"/>
      <c r="AD31" s="13" t="n"/>
      <c r="AE31" s="13" t="n"/>
      <c r="AF31" s="13" t="n"/>
      <c r="AG31" s="13" t="n"/>
      <c r="AH31" s="13" t="n"/>
      <c r="AI31" s="17" t="n"/>
      <c r="AJ31" s="17" t="n"/>
      <c r="AK31" s="13" t="n"/>
      <c r="AL31" s="13" t="n"/>
      <c r="AM31" s="13" t="n"/>
      <c r="AN31" s="13" t="n"/>
      <c r="AO31" s="13" t="n"/>
      <c r="AP31" s="17" t="n"/>
      <c r="AQ31" s="17" t="n"/>
      <c r="AR31" s="13" t="n"/>
      <c r="AS31" s="13" t="n"/>
      <c r="AT31" s="13" t="n"/>
      <c r="AU31" s="13" t="n"/>
      <c r="AV31" s="13" t="n"/>
      <c r="AW31" s="17" t="n"/>
      <c r="AX31" s="17" t="n"/>
      <c r="AY31" s="13" t="n"/>
      <c r="AZ31" s="13" t="n"/>
      <c r="BA31" s="13" t="n"/>
      <c r="BB31" s="13" t="n"/>
      <c r="BC31" s="13" t="n"/>
      <c r="BD31" s="17" t="n"/>
      <c r="BE31" s="17" t="n"/>
      <c r="BF31" s="13" t="n"/>
      <c r="BG31" s="13" t="n"/>
      <c r="BH31" s="13" t="n"/>
      <c r="BI31" s="13" t="n"/>
      <c r="BJ31" s="13" t="n"/>
      <c r="BK31" s="17" t="n"/>
      <c r="BL31" s="17" t="n"/>
      <c r="BM31" s="13" t="n"/>
      <c r="BN31" s="13" t="n"/>
      <c r="BO31" s="13" t="n"/>
      <c r="BP31" s="13" t="n"/>
      <c r="BQ31" s="13" t="n"/>
      <c r="BR31" s="17" t="n"/>
      <c r="BS31" s="17" t="n"/>
    </row>
    <row r="32" ht="30" customHeight="1">
      <c r="A32" s="9" t="inlineStr">
        <is>
          <t>6</t>
        </is>
      </c>
      <c r="B32" s="10" t="inlineStr">
        <is>
          <t>Quầy vé, soát vé và thành viên</t>
        </is>
      </c>
      <c r="C32" s="9" t="inlineStr">
        <is>
          <t>Đạt</t>
        </is>
      </c>
      <c r="D32" s="9" t="inlineStr">
        <is>
          <t>1w</t>
        </is>
      </c>
      <c r="E32" s="11" t="n">
        <v>46321</v>
      </c>
      <c r="F32" s="11" t="n">
        <v>46327</v>
      </c>
      <c r="G32" s="9">
        <f>IF(H32&gt;=1,"Đã hoàn thành",IF(H32&gt;0,"Đang thực hiện","Chưa thực hiện"))</f>
        <v/>
      </c>
      <c r="H32" s="12">
        <f>IFERROR(AVERAGE(H33:H36),0)</f>
        <v/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</row>
    <row r="33" ht="30" customHeight="1">
      <c r="A33" s="13" t="inlineStr">
        <is>
          <t>6.1</t>
        </is>
      </c>
      <c r="B33" s="14" t="inlineStr">
        <is>
          <t>POS bán vé tại quầy cho nhân viên: API/UI, in vé</t>
        </is>
      </c>
      <c r="C33" s="13" t="inlineStr">
        <is>
          <t>Đạt</t>
        </is>
      </c>
      <c r="D33" s="13" t="inlineStr">
        <is>
          <t>2d</t>
        </is>
      </c>
      <c r="E33" s="15" t="n">
        <v>46321</v>
      </c>
      <c r="F33" s="15" t="n">
        <v>46322</v>
      </c>
      <c r="G33" s="13" t="inlineStr">
        <is>
          <t>Chưa thực hiện</t>
        </is>
      </c>
      <c r="H33" s="16" t="n">
        <v>0</v>
      </c>
      <c r="I33" s="13" t="n"/>
      <c r="J33" s="13" t="n"/>
      <c r="K33" s="13" t="n"/>
      <c r="L33" s="13" t="n"/>
      <c r="M33" s="13" t="n"/>
      <c r="N33" s="17" t="n"/>
      <c r="O33" s="17" t="n"/>
      <c r="P33" s="13" t="n"/>
      <c r="Q33" s="13" t="n"/>
      <c r="R33" s="13" t="n"/>
      <c r="S33" s="13" t="n"/>
      <c r="T33" s="13" t="n"/>
      <c r="U33" s="17" t="n"/>
      <c r="V33" s="17" t="n"/>
      <c r="W33" s="13" t="n"/>
      <c r="X33" s="13" t="n"/>
      <c r="Y33" s="13" t="n"/>
      <c r="Z33" s="13" t="n"/>
      <c r="AA33" s="13" t="n"/>
      <c r="AB33" s="17" t="n"/>
      <c r="AC33" s="17" t="n"/>
      <c r="AD33" s="13" t="n"/>
      <c r="AE33" s="13" t="n"/>
      <c r="AF33" s="13" t="n"/>
      <c r="AG33" s="13" t="n"/>
      <c r="AH33" s="13" t="n"/>
      <c r="AI33" s="17" t="n"/>
      <c r="AJ33" s="17" t="n"/>
      <c r="AK33" s="13" t="n"/>
      <c r="AL33" s="13" t="n"/>
      <c r="AM33" s="13" t="n"/>
      <c r="AN33" s="13" t="n"/>
      <c r="AO33" s="13" t="n"/>
      <c r="AP33" s="17" t="n"/>
      <c r="AQ33" s="17" t="n"/>
      <c r="AR33" s="13" t="n"/>
      <c r="AS33" s="13" t="n"/>
      <c r="AT33" s="13" t="n"/>
      <c r="AU33" s="13" t="n"/>
      <c r="AV33" s="13" t="n"/>
      <c r="AW33" s="17" t="n"/>
      <c r="AX33" s="17" t="n"/>
      <c r="AY33" s="13" t="n"/>
      <c r="AZ33" s="13" t="n"/>
      <c r="BA33" s="13" t="n"/>
      <c r="BB33" s="13" t="n"/>
      <c r="BC33" s="13" t="n"/>
      <c r="BD33" s="17" t="n"/>
      <c r="BE33" s="17" t="n"/>
      <c r="BF33" s="13" t="n"/>
      <c r="BG33" s="13" t="n"/>
      <c r="BH33" s="13" t="n"/>
      <c r="BI33" s="13" t="n"/>
      <c r="BJ33" s="13" t="n"/>
      <c r="BK33" s="17" t="n"/>
      <c r="BL33" s="17" t="n"/>
      <c r="BM33" s="13" t="n"/>
      <c r="BN33" s="13" t="n"/>
      <c r="BO33" s="13" t="n"/>
      <c r="BP33" s="13" t="n"/>
      <c r="BQ33" s="13" t="n"/>
      <c r="BR33" s="17" t="n"/>
      <c r="BS33" s="17" t="n"/>
    </row>
    <row r="34" ht="30" customHeight="1">
      <c r="A34" s="13" t="inlineStr">
        <is>
          <t>6.2</t>
        </is>
      </c>
      <c r="B34" s="14" t="inlineStr">
        <is>
          <t>Quét QR soát vé (check-in), chống dùng lại vé</t>
        </is>
      </c>
      <c r="C34" s="13" t="inlineStr">
        <is>
          <t>Đạt</t>
        </is>
      </c>
      <c r="D34" s="13" t="inlineStr">
        <is>
          <t>1d</t>
        </is>
      </c>
      <c r="E34" s="15" t="n">
        <v>46323</v>
      </c>
      <c r="F34" s="15" t="n">
        <v>46323</v>
      </c>
      <c r="G34" s="13" t="inlineStr">
        <is>
          <t>Chưa thực hiện</t>
        </is>
      </c>
      <c r="H34" s="16" t="n">
        <v>0</v>
      </c>
      <c r="I34" s="13" t="n"/>
      <c r="J34" s="13" t="n"/>
      <c r="K34" s="13" t="n"/>
      <c r="L34" s="13" t="n"/>
      <c r="M34" s="13" t="n"/>
      <c r="N34" s="17" t="n"/>
      <c r="O34" s="17" t="n"/>
      <c r="P34" s="13" t="n"/>
      <c r="Q34" s="13" t="n"/>
      <c r="R34" s="13" t="n"/>
      <c r="S34" s="13" t="n"/>
      <c r="T34" s="13" t="n"/>
      <c r="U34" s="17" t="n"/>
      <c r="V34" s="17" t="n"/>
      <c r="W34" s="13" t="n"/>
      <c r="X34" s="13" t="n"/>
      <c r="Y34" s="13" t="n"/>
      <c r="Z34" s="13" t="n"/>
      <c r="AA34" s="13" t="n"/>
      <c r="AB34" s="17" t="n"/>
      <c r="AC34" s="17" t="n"/>
      <c r="AD34" s="13" t="n"/>
      <c r="AE34" s="13" t="n"/>
      <c r="AF34" s="13" t="n"/>
      <c r="AG34" s="13" t="n"/>
      <c r="AH34" s="13" t="n"/>
      <c r="AI34" s="17" t="n"/>
      <c r="AJ34" s="17" t="n"/>
      <c r="AK34" s="13" t="n"/>
      <c r="AL34" s="13" t="n"/>
      <c r="AM34" s="13" t="n"/>
      <c r="AN34" s="13" t="n"/>
      <c r="AO34" s="13" t="n"/>
      <c r="AP34" s="17" t="n"/>
      <c r="AQ34" s="17" t="n"/>
      <c r="AR34" s="13" t="n"/>
      <c r="AS34" s="13" t="n"/>
      <c r="AT34" s="13" t="n"/>
      <c r="AU34" s="13" t="n"/>
      <c r="AV34" s="13" t="n"/>
      <c r="AW34" s="17" t="n"/>
      <c r="AX34" s="17" t="n"/>
      <c r="AY34" s="13" t="n"/>
      <c r="AZ34" s="13" t="n"/>
      <c r="BA34" s="13" t="n"/>
      <c r="BB34" s="13" t="n"/>
      <c r="BC34" s="13" t="n"/>
      <c r="BD34" s="17" t="n"/>
      <c r="BE34" s="17" t="n"/>
      <c r="BF34" s="13" t="n"/>
      <c r="BG34" s="13" t="n"/>
      <c r="BH34" s="13" t="n"/>
      <c r="BI34" s="13" t="n"/>
      <c r="BJ34" s="13" t="n"/>
      <c r="BK34" s="17" t="n"/>
      <c r="BL34" s="17" t="n"/>
      <c r="BM34" s="13" t="n"/>
      <c r="BN34" s="13" t="n"/>
      <c r="BO34" s="13" t="n"/>
      <c r="BP34" s="13" t="n"/>
      <c r="BQ34" s="13" t="n"/>
      <c r="BR34" s="17" t="n"/>
      <c r="BS34" s="17" t="n"/>
    </row>
    <row r="35" ht="30" customHeight="1">
      <c r="A35" s="13" t="inlineStr">
        <is>
          <t>6.3</t>
        </is>
      </c>
      <c r="B35" s="14" t="inlineStr">
        <is>
          <t>Thành viên: điểm tích lũy, hạng thẻ, lịch sử đặt vé</t>
        </is>
      </c>
      <c r="C35" s="13" t="inlineStr">
        <is>
          <t>Đạt</t>
        </is>
      </c>
      <c r="D35" s="13" t="inlineStr">
        <is>
          <t>1d</t>
        </is>
      </c>
      <c r="E35" s="15" t="n">
        <v>46324</v>
      </c>
      <c r="F35" s="15" t="n">
        <v>46324</v>
      </c>
      <c r="G35" s="13" t="inlineStr">
        <is>
          <t>Chưa thực hiện</t>
        </is>
      </c>
      <c r="H35" s="16" t="n">
        <v>0</v>
      </c>
      <c r="I35" s="13" t="n"/>
      <c r="J35" s="13" t="n"/>
      <c r="K35" s="13" t="n"/>
      <c r="L35" s="13" t="n"/>
      <c r="M35" s="13" t="n"/>
      <c r="N35" s="17" t="n"/>
      <c r="O35" s="17" t="n"/>
      <c r="P35" s="13" t="n"/>
      <c r="Q35" s="13" t="n"/>
      <c r="R35" s="13" t="n"/>
      <c r="S35" s="13" t="n"/>
      <c r="T35" s="13" t="n"/>
      <c r="U35" s="17" t="n"/>
      <c r="V35" s="17" t="n"/>
      <c r="W35" s="13" t="n"/>
      <c r="X35" s="13" t="n"/>
      <c r="Y35" s="13" t="n"/>
      <c r="Z35" s="13" t="n"/>
      <c r="AA35" s="13" t="n"/>
      <c r="AB35" s="17" t="n"/>
      <c r="AC35" s="17" t="n"/>
      <c r="AD35" s="13" t="n"/>
      <c r="AE35" s="13" t="n"/>
      <c r="AF35" s="13" t="n"/>
      <c r="AG35" s="13" t="n"/>
      <c r="AH35" s="13" t="n"/>
      <c r="AI35" s="17" t="n"/>
      <c r="AJ35" s="17" t="n"/>
      <c r="AK35" s="13" t="n"/>
      <c r="AL35" s="13" t="n"/>
      <c r="AM35" s="13" t="n"/>
      <c r="AN35" s="13" t="n"/>
      <c r="AO35" s="13" t="n"/>
      <c r="AP35" s="17" t="n"/>
      <c r="AQ35" s="17" t="n"/>
      <c r="AR35" s="13" t="n"/>
      <c r="AS35" s="13" t="n"/>
      <c r="AT35" s="13" t="n"/>
      <c r="AU35" s="13" t="n"/>
      <c r="AV35" s="13" t="n"/>
      <c r="AW35" s="17" t="n"/>
      <c r="AX35" s="17" t="n"/>
      <c r="AY35" s="13" t="n"/>
      <c r="AZ35" s="13" t="n"/>
      <c r="BA35" s="13" t="n"/>
      <c r="BB35" s="13" t="n"/>
      <c r="BC35" s="13" t="n"/>
      <c r="BD35" s="17" t="n"/>
      <c r="BE35" s="17" t="n"/>
      <c r="BF35" s="13" t="n"/>
      <c r="BG35" s="13" t="n"/>
      <c r="BH35" s="13" t="n"/>
      <c r="BI35" s="13" t="n"/>
      <c r="BJ35" s="13" t="n"/>
      <c r="BK35" s="17" t="n"/>
      <c r="BL35" s="17" t="n"/>
      <c r="BM35" s="13" t="n"/>
      <c r="BN35" s="13" t="n"/>
      <c r="BO35" s="13" t="n"/>
      <c r="BP35" s="13" t="n"/>
      <c r="BQ35" s="13" t="n"/>
      <c r="BR35" s="17" t="n"/>
      <c r="BS35" s="17" t="n"/>
    </row>
    <row r="36" ht="30" customHeight="1">
      <c r="A36" s="13" t="inlineStr">
        <is>
          <t>6.4</t>
        </is>
      </c>
      <c r="B36" s="14" t="inlineStr">
        <is>
          <t>Audit viewer tối thiểu, kiểm tra lịch sử thay đổi và scope</t>
        </is>
      </c>
      <c r="C36" s="13" t="inlineStr">
        <is>
          <t>Đạt</t>
        </is>
      </c>
      <c r="D36" s="13" t="inlineStr">
        <is>
          <t>1d</t>
        </is>
      </c>
      <c r="E36" s="15" t="n">
        <v>46325</v>
      </c>
      <c r="F36" s="15" t="n">
        <v>46325</v>
      </c>
      <c r="G36" s="13" t="inlineStr">
        <is>
          <t>Chưa thực hiện</t>
        </is>
      </c>
      <c r="H36" s="16" t="n">
        <v>0</v>
      </c>
      <c r="I36" s="13" t="n"/>
      <c r="J36" s="13" t="n"/>
      <c r="K36" s="13" t="n"/>
      <c r="L36" s="13" t="n"/>
      <c r="M36" s="13" t="n"/>
      <c r="N36" s="17" t="n"/>
      <c r="O36" s="17" t="n"/>
      <c r="P36" s="13" t="n"/>
      <c r="Q36" s="13" t="n"/>
      <c r="R36" s="13" t="n"/>
      <c r="S36" s="13" t="n"/>
      <c r="T36" s="13" t="n"/>
      <c r="U36" s="17" t="n"/>
      <c r="V36" s="17" t="n"/>
      <c r="W36" s="13" t="n"/>
      <c r="X36" s="13" t="n"/>
      <c r="Y36" s="13" t="n"/>
      <c r="Z36" s="13" t="n"/>
      <c r="AA36" s="13" t="n"/>
      <c r="AB36" s="17" t="n"/>
      <c r="AC36" s="17" t="n"/>
      <c r="AD36" s="13" t="n"/>
      <c r="AE36" s="13" t="n"/>
      <c r="AF36" s="13" t="n"/>
      <c r="AG36" s="13" t="n"/>
      <c r="AH36" s="13" t="n"/>
      <c r="AI36" s="17" t="n"/>
      <c r="AJ36" s="17" t="n"/>
      <c r="AK36" s="13" t="n"/>
      <c r="AL36" s="13" t="n"/>
      <c r="AM36" s="13" t="n"/>
      <c r="AN36" s="13" t="n"/>
      <c r="AO36" s="13" t="n"/>
      <c r="AP36" s="17" t="n"/>
      <c r="AQ36" s="17" t="n"/>
      <c r="AR36" s="13" t="n"/>
      <c r="AS36" s="13" t="n"/>
      <c r="AT36" s="13" t="n"/>
      <c r="AU36" s="13" t="n"/>
      <c r="AV36" s="13" t="n"/>
      <c r="AW36" s="17" t="n"/>
      <c r="AX36" s="17" t="n"/>
      <c r="AY36" s="13" t="n"/>
      <c r="AZ36" s="13" t="n"/>
      <c r="BA36" s="13" t="n"/>
      <c r="BB36" s="13" t="n"/>
      <c r="BC36" s="13" t="n"/>
      <c r="BD36" s="17" t="n"/>
      <c r="BE36" s="17" t="n"/>
      <c r="BF36" s="13" t="n"/>
      <c r="BG36" s="13" t="n"/>
      <c r="BH36" s="13" t="n"/>
      <c r="BI36" s="13" t="n"/>
      <c r="BJ36" s="13" t="n"/>
      <c r="BK36" s="17" t="n"/>
      <c r="BL36" s="17" t="n"/>
      <c r="BM36" s="13" t="n"/>
      <c r="BN36" s="13" t="n"/>
      <c r="BO36" s="13" t="n"/>
      <c r="BP36" s="13" t="n"/>
      <c r="BQ36" s="13" t="n"/>
      <c r="BR36" s="17" t="n"/>
      <c r="BS36" s="17" t="n"/>
    </row>
    <row r="37" ht="30" customHeight="1">
      <c r="A37" s="9" t="inlineStr">
        <is>
          <t>7</t>
        </is>
      </c>
      <c r="B37" s="10" t="inlineStr">
        <is>
          <t>Báo cáo và quản trị</t>
        </is>
      </c>
      <c r="C37" s="9" t="inlineStr">
        <is>
          <t>Đạt</t>
        </is>
      </c>
      <c r="D37" s="9" t="inlineStr">
        <is>
          <t>1w</t>
        </is>
      </c>
      <c r="E37" s="11" t="n">
        <v>46328</v>
      </c>
      <c r="F37" s="11" t="n">
        <v>46334</v>
      </c>
      <c r="G37" s="9">
        <f>IF(H37&gt;=1,"Đã hoàn thành",IF(H37&gt;0,"Đang thực hiện","Chưa thực hiện"))</f>
        <v/>
      </c>
      <c r="H37" s="12">
        <f>IFERROR(AVERAGE(H38:H40),0)</f>
        <v/>
      </c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</row>
    <row r="38" ht="30" customHeight="1">
      <c r="A38" s="13" t="inlineStr">
        <is>
          <t>7.1</t>
        </is>
      </c>
      <c r="B38" s="14" t="inlineStr">
        <is>
          <t>Dashboard doanh thu theo phim/rạp/suất, tỉ lệ lấp đầy, cache theo scope</t>
        </is>
      </c>
      <c r="C38" s="13" t="inlineStr">
        <is>
          <t>Đạt</t>
        </is>
      </c>
      <c r="D38" s="13" t="inlineStr">
        <is>
          <t>2d</t>
        </is>
      </c>
      <c r="E38" s="15" t="n">
        <v>46328</v>
      </c>
      <c r="F38" s="15" t="n">
        <v>46329</v>
      </c>
      <c r="G38" s="13" t="inlineStr">
        <is>
          <t>Chưa thực hiện</t>
        </is>
      </c>
      <c r="H38" s="16" t="n">
        <v>0</v>
      </c>
      <c r="I38" s="13" t="n"/>
      <c r="J38" s="13" t="n"/>
      <c r="K38" s="13" t="n"/>
      <c r="L38" s="13" t="n"/>
      <c r="M38" s="13" t="n"/>
      <c r="N38" s="17" t="n"/>
      <c r="O38" s="17" t="n"/>
      <c r="P38" s="13" t="n"/>
      <c r="Q38" s="13" t="n"/>
      <c r="R38" s="13" t="n"/>
      <c r="S38" s="13" t="n"/>
      <c r="T38" s="13" t="n"/>
      <c r="U38" s="17" t="n"/>
      <c r="V38" s="17" t="n"/>
      <c r="W38" s="13" t="n"/>
      <c r="X38" s="13" t="n"/>
      <c r="Y38" s="13" t="n"/>
      <c r="Z38" s="13" t="n"/>
      <c r="AA38" s="13" t="n"/>
      <c r="AB38" s="17" t="n"/>
      <c r="AC38" s="17" t="n"/>
      <c r="AD38" s="13" t="n"/>
      <c r="AE38" s="13" t="n"/>
      <c r="AF38" s="13" t="n"/>
      <c r="AG38" s="13" t="n"/>
      <c r="AH38" s="13" t="n"/>
      <c r="AI38" s="17" t="n"/>
      <c r="AJ38" s="17" t="n"/>
      <c r="AK38" s="13" t="n"/>
      <c r="AL38" s="13" t="n"/>
      <c r="AM38" s="13" t="n"/>
      <c r="AN38" s="13" t="n"/>
      <c r="AO38" s="13" t="n"/>
      <c r="AP38" s="17" t="n"/>
      <c r="AQ38" s="17" t="n"/>
      <c r="AR38" s="13" t="n"/>
      <c r="AS38" s="13" t="n"/>
      <c r="AT38" s="13" t="n"/>
      <c r="AU38" s="13" t="n"/>
      <c r="AV38" s="13" t="n"/>
      <c r="AW38" s="17" t="n"/>
      <c r="AX38" s="17" t="n"/>
      <c r="AY38" s="13" t="n"/>
      <c r="AZ38" s="13" t="n"/>
      <c r="BA38" s="13" t="n"/>
      <c r="BB38" s="13" t="n"/>
      <c r="BC38" s="13" t="n"/>
      <c r="BD38" s="17" t="n"/>
      <c r="BE38" s="17" t="n"/>
      <c r="BF38" s="13" t="n"/>
      <c r="BG38" s="13" t="n"/>
      <c r="BH38" s="13" t="n"/>
      <c r="BI38" s="13" t="n"/>
      <c r="BJ38" s="13" t="n"/>
      <c r="BK38" s="17" t="n"/>
      <c r="BL38" s="17" t="n"/>
      <c r="BM38" s="13" t="n"/>
      <c r="BN38" s="13" t="n"/>
      <c r="BO38" s="13" t="n"/>
      <c r="BP38" s="13" t="n"/>
      <c r="BQ38" s="13" t="n"/>
      <c r="BR38" s="17" t="n"/>
      <c r="BS38" s="17" t="n"/>
    </row>
    <row r="39" ht="30" customHeight="1">
      <c r="A39" s="13" t="inlineStr">
        <is>
          <t>7.2</t>
        </is>
      </c>
      <c r="B39" s="14" t="inlineStr">
        <is>
          <t>Quản lý khuyến mãi/voucher/banner: API/UI</t>
        </is>
      </c>
      <c r="C39" s="13" t="inlineStr">
        <is>
          <t>Đạt</t>
        </is>
      </c>
      <c r="D39" s="13" t="inlineStr">
        <is>
          <t>1d</t>
        </is>
      </c>
      <c r="E39" s="15" t="n">
        <v>46330</v>
      </c>
      <c r="F39" s="15" t="n">
        <v>46330</v>
      </c>
      <c r="G39" s="13" t="inlineStr">
        <is>
          <t>Chưa thực hiện</t>
        </is>
      </c>
      <c r="H39" s="16" t="n">
        <v>0</v>
      </c>
      <c r="I39" s="13" t="n"/>
      <c r="J39" s="13" t="n"/>
      <c r="K39" s="13" t="n"/>
      <c r="L39" s="13" t="n"/>
      <c r="M39" s="13" t="n"/>
      <c r="N39" s="17" t="n"/>
      <c r="O39" s="17" t="n"/>
      <c r="P39" s="13" t="n"/>
      <c r="Q39" s="13" t="n"/>
      <c r="R39" s="13" t="n"/>
      <c r="S39" s="13" t="n"/>
      <c r="T39" s="13" t="n"/>
      <c r="U39" s="17" t="n"/>
      <c r="V39" s="17" t="n"/>
      <c r="W39" s="13" t="n"/>
      <c r="X39" s="13" t="n"/>
      <c r="Y39" s="13" t="n"/>
      <c r="Z39" s="13" t="n"/>
      <c r="AA39" s="13" t="n"/>
      <c r="AB39" s="17" t="n"/>
      <c r="AC39" s="17" t="n"/>
      <c r="AD39" s="13" t="n"/>
      <c r="AE39" s="13" t="n"/>
      <c r="AF39" s="13" t="n"/>
      <c r="AG39" s="13" t="n"/>
      <c r="AH39" s="13" t="n"/>
      <c r="AI39" s="17" t="n"/>
      <c r="AJ39" s="17" t="n"/>
      <c r="AK39" s="13" t="n"/>
      <c r="AL39" s="13" t="n"/>
      <c r="AM39" s="13" t="n"/>
      <c r="AN39" s="13" t="n"/>
      <c r="AO39" s="13" t="n"/>
      <c r="AP39" s="17" t="n"/>
      <c r="AQ39" s="17" t="n"/>
      <c r="AR39" s="13" t="n"/>
      <c r="AS39" s="13" t="n"/>
      <c r="AT39" s="13" t="n"/>
      <c r="AU39" s="13" t="n"/>
      <c r="AV39" s="13" t="n"/>
      <c r="AW39" s="17" t="n"/>
      <c r="AX39" s="17" t="n"/>
      <c r="AY39" s="13" t="n"/>
      <c r="AZ39" s="13" t="n"/>
      <c r="BA39" s="13" t="n"/>
      <c r="BB39" s="13" t="n"/>
      <c r="BC39" s="13" t="n"/>
      <c r="BD39" s="17" t="n"/>
      <c r="BE39" s="17" t="n"/>
      <c r="BF39" s="13" t="n"/>
      <c r="BG39" s="13" t="n"/>
      <c r="BH39" s="13" t="n"/>
      <c r="BI39" s="13" t="n"/>
      <c r="BJ39" s="13" t="n"/>
      <c r="BK39" s="17" t="n"/>
      <c r="BL39" s="17" t="n"/>
      <c r="BM39" s="13" t="n"/>
      <c r="BN39" s="13" t="n"/>
      <c r="BO39" s="13" t="n"/>
      <c r="BP39" s="13" t="n"/>
      <c r="BQ39" s="13" t="n"/>
      <c r="BR39" s="17" t="n"/>
      <c r="BS39" s="17" t="n"/>
    </row>
    <row r="40" ht="30" customHeight="1">
      <c r="A40" s="13" t="inlineStr">
        <is>
          <t>7.3</t>
        </is>
      </c>
      <c r="B40" s="14" t="inlineStr">
        <is>
          <t>Nhập/xuất Excel/CSV lịch chiếu, PDF báo cáo, UI job/lỗi từng dòng</t>
        </is>
      </c>
      <c r="C40" s="13" t="inlineStr">
        <is>
          <t>Đạt</t>
        </is>
      </c>
      <c r="D40" s="13" t="inlineStr">
        <is>
          <t>2d</t>
        </is>
      </c>
      <c r="E40" s="15" t="n">
        <v>46331</v>
      </c>
      <c r="F40" s="15" t="n">
        <v>46332</v>
      </c>
      <c r="G40" s="13" t="inlineStr">
        <is>
          <t>Chưa thực hiện</t>
        </is>
      </c>
      <c r="H40" s="16" t="n">
        <v>0</v>
      </c>
      <c r="I40" s="13" t="n"/>
      <c r="J40" s="13" t="n"/>
      <c r="K40" s="13" t="n"/>
      <c r="L40" s="13" t="n"/>
      <c r="M40" s="13" t="n"/>
      <c r="N40" s="17" t="n"/>
      <c r="O40" s="17" t="n"/>
      <c r="P40" s="13" t="n"/>
      <c r="Q40" s="13" t="n"/>
      <c r="R40" s="13" t="n"/>
      <c r="S40" s="13" t="n"/>
      <c r="T40" s="13" t="n"/>
      <c r="U40" s="17" t="n"/>
      <c r="V40" s="17" t="n"/>
      <c r="W40" s="13" t="n"/>
      <c r="X40" s="13" t="n"/>
      <c r="Y40" s="13" t="n"/>
      <c r="Z40" s="13" t="n"/>
      <c r="AA40" s="13" t="n"/>
      <c r="AB40" s="17" t="n"/>
      <c r="AC40" s="17" t="n"/>
      <c r="AD40" s="13" t="n"/>
      <c r="AE40" s="13" t="n"/>
      <c r="AF40" s="13" t="n"/>
      <c r="AG40" s="13" t="n"/>
      <c r="AH40" s="13" t="n"/>
      <c r="AI40" s="17" t="n"/>
      <c r="AJ40" s="17" t="n"/>
      <c r="AK40" s="13" t="n"/>
      <c r="AL40" s="13" t="n"/>
      <c r="AM40" s="13" t="n"/>
      <c r="AN40" s="13" t="n"/>
      <c r="AO40" s="13" t="n"/>
      <c r="AP40" s="17" t="n"/>
      <c r="AQ40" s="17" t="n"/>
      <c r="AR40" s="13" t="n"/>
      <c r="AS40" s="13" t="n"/>
      <c r="AT40" s="13" t="n"/>
      <c r="AU40" s="13" t="n"/>
      <c r="AV40" s="13" t="n"/>
      <c r="AW40" s="17" t="n"/>
      <c r="AX40" s="17" t="n"/>
      <c r="AY40" s="13" t="n"/>
      <c r="AZ40" s="13" t="n"/>
      <c r="BA40" s="13" t="n"/>
      <c r="BB40" s="13" t="n"/>
      <c r="BC40" s="13" t="n"/>
      <c r="BD40" s="17" t="n"/>
      <c r="BE40" s="17" t="n"/>
      <c r="BF40" s="13" t="n"/>
      <c r="BG40" s="13" t="n"/>
      <c r="BH40" s="13" t="n"/>
      <c r="BI40" s="13" t="n"/>
      <c r="BJ40" s="13" t="n"/>
      <c r="BK40" s="17" t="n"/>
      <c r="BL40" s="17" t="n"/>
      <c r="BM40" s="13" t="n"/>
      <c r="BN40" s="13" t="n"/>
      <c r="BO40" s="13" t="n"/>
      <c r="BP40" s="13" t="n"/>
      <c r="BQ40" s="13" t="n"/>
      <c r="BR40" s="17" t="n"/>
      <c r="BS40" s="17" t="n"/>
    </row>
    <row r="41" ht="30" customHeight="1">
      <c r="A41" s="5" t="inlineStr">
        <is>
          <t>C</t>
        </is>
      </c>
      <c r="B41" s="6" t="inlineStr">
        <is>
          <t>Sprint 3 – Chất lượng, triển khai, bàn giao</t>
        </is>
      </c>
      <c r="C41" s="5" t="n"/>
      <c r="D41" s="5" t="inlineStr">
        <is>
          <t>1.5w</t>
        </is>
      </c>
      <c r="E41" s="7" t="n">
        <v>46335</v>
      </c>
      <c r="F41" s="7" t="n">
        <v>46348</v>
      </c>
      <c r="G41" s="5">
        <f>IF(H41&gt;=1,"Đã hoàn thành",IF(H41&gt;0,"Đang thực hiện","Chưa thực hiện"))</f>
        <v/>
      </c>
      <c r="H41" s="8">
        <f>IFERROR(AVERAGE(H42,H46),0)</f>
        <v/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</row>
    <row r="42" ht="30" customHeight="1">
      <c r="A42" s="9" t="inlineStr">
        <is>
          <t>8</t>
        </is>
      </c>
      <c r="B42" s="10" t="inlineStr">
        <is>
          <t>Chất lượng và bảo mật</t>
        </is>
      </c>
      <c r="C42" s="9" t="inlineStr">
        <is>
          <t>Đạt</t>
        </is>
      </c>
      <c r="D42" s="9" t="inlineStr">
        <is>
          <t>0.5w</t>
        </is>
      </c>
      <c r="E42" s="11" t="n">
        <v>46335</v>
      </c>
      <c r="F42" s="11" t="n">
        <v>46337</v>
      </c>
      <c r="G42" s="9">
        <f>IF(H42&gt;=1,"Đã hoàn thành",IF(H42&gt;0,"Đang thực hiện","Chưa thực hiện"))</f>
        <v/>
      </c>
      <c r="H42" s="12">
        <f>IFERROR(AVERAGE(H43:H45),0)</f>
        <v/>
      </c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</row>
    <row r="43" ht="30" customHeight="1">
      <c r="A43" s="13" t="inlineStr">
        <is>
          <t>8.1</t>
        </is>
      </c>
      <c r="B43" s="14" t="inlineStr">
        <is>
          <t>Rà auth/CORS/rate limit, upload/file, secret và audit</t>
        </is>
      </c>
      <c r="C43" s="13" t="inlineStr">
        <is>
          <t>Đạt</t>
        </is>
      </c>
      <c r="D43" s="13" t="inlineStr">
        <is>
          <t>4h</t>
        </is>
      </c>
      <c r="E43" s="15" t="n">
        <v>46335</v>
      </c>
      <c r="F43" s="15" t="n">
        <v>46335</v>
      </c>
      <c r="G43" s="13" t="inlineStr">
        <is>
          <t>Chưa thực hiện</t>
        </is>
      </c>
      <c r="H43" s="16" t="n">
        <v>0</v>
      </c>
      <c r="I43" s="13" t="n"/>
      <c r="J43" s="13" t="n"/>
      <c r="K43" s="13" t="n"/>
      <c r="L43" s="13" t="n"/>
      <c r="M43" s="13" t="n"/>
      <c r="N43" s="17" t="n"/>
      <c r="O43" s="17" t="n"/>
      <c r="P43" s="13" t="n"/>
      <c r="Q43" s="13" t="n"/>
      <c r="R43" s="13" t="n"/>
      <c r="S43" s="13" t="n"/>
      <c r="T43" s="13" t="n"/>
      <c r="U43" s="17" t="n"/>
      <c r="V43" s="17" t="n"/>
      <c r="W43" s="13" t="n"/>
      <c r="X43" s="13" t="n"/>
      <c r="Y43" s="13" t="n"/>
      <c r="Z43" s="13" t="n"/>
      <c r="AA43" s="13" t="n"/>
      <c r="AB43" s="17" t="n"/>
      <c r="AC43" s="17" t="n"/>
      <c r="AD43" s="13" t="n"/>
      <c r="AE43" s="13" t="n"/>
      <c r="AF43" s="13" t="n"/>
      <c r="AG43" s="13" t="n"/>
      <c r="AH43" s="13" t="n"/>
      <c r="AI43" s="17" t="n"/>
      <c r="AJ43" s="17" t="n"/>
      <c r="AK43" s="13" t="n"/>
      <c r="AL43" s="13" t="n"/>
      <c r="AM43" s="13" t="n"/>
      <c r="AN43" s="13" t="n"/>
      <c r="AO43" s="13" t="n"/>
      <c r="AP43" s="17" t="n"/>
      <c r="AQ43" s="17" t="n"/>
      <c r="AR43" s="13" t="n"/>
      <c r="AS43" s="13" t="n"/>
      <c r="AT43" s="13" t="n"/>
      <c r="AU43" s="13" t="n"/>
      <c r="AV43" s="13" t="n"/>
      <c r="AW43" s="17" t="n"/>
      <c r="AX43" s="17" t="n"/>
      <c r="AY43" s="13" t="n"/>
      <c r="AZ43" s="13" t="n"/>
      <c r="BA43" s="13" t="n"/>
      <c r="BB43" s="13" t="n"/>
      <c r="BC43" s="13" t="n"/>
      <c r="BD43" s="17" t="n"/>
      <c r="BE43" s="17" t="n"/>
      <c r="BF43" s="13" t="n"/>
      <c r="BG43" s="13" t="n"/>
      <c r="BH43" s="13" t="n"/>
      <c r="BI43" s="13" t="n"/>
      <c r="BJ43" s="13" t="n"/>
      <c r="BK43" s="17" t="n"/>
      <c r="BL43" s="17" t="n"/>
      <c r="BM43" s="13" t="n"/>
      <c r="BN43" s="13" t="n"/>
      <c r="BO43" s="13" t="n"/>
      <c r="BP43" s="13" t="n"/>
      <c r="BQ43" s="13" t="n"/>
      <c r="BR43" s="17" t="n"/>
      <c r="BS43" s="17" t="n"/>
    </row>
    <row r="44" ht="30" customHeight="1">
      <c r="A44" s="13" t="inlineStr">
        <is>
          <t>8.2</t>
        </is>
      </c>
      <c r="B44" s="14" t="inlineStr">
        <is>
          <t>Load test giữ ghế/thanh toán (k6) khi mở bán suất hot</t>
        </is>
      </c>
      <c r="C44" s="13" t="inlineStr">
        <is>
          <t>Đạt</t>
        </is>
      </c>
      <c r="D44" s="13" t="inlineStr">
        <is>
          <t>1d</t>
        </is>
      </c>
      <c r="E44" s="15" t="n">
        <v>46336</v>
      </c>
      <c r="F44" s="15" t="n">
        <v>46336</v>
      </c>
      <c r="G44" s="13" t="inlineStr">
        <is>
          <t>Chưa thực hiện</t>
        </is>
      </c>
      <c r="H44" s="16" t="n">
        <v>0</v>
      </c>
      <c r="I44" s="13" t="n"/>
      <c r="J44" s="13" t="n"/>
      <c r="K44" s="13" t="n"/>
      <c r="L44" s="13" t="n"/>
      <c r="M44" s="13" t="n"/>
      <c r="N44" s="17" t="n"/>
      <c r="O44" s="17" t="n"/>
      <c r="P44" s="13" t="n"/>
      <c r="Q44" s="13" t="n"/>
      <c r="R44" s="13" t="n"/>
      <c r="S44" s="13" t="n"/>
      <c r="T44" s="13" t="n"/>
      <c r="U44" s="17" t="n"/>
      <c r="V44" s="17" t="n"/>
      <c r="W44" s="13" t="n"/>
      <c r="X44" s="13" t="n"/>
      <c r="Y44" s="13" t="n"/>
      <c r="Z44" s="13" t="n"/>
      <c r="AA44" s="13" t="n"/>
      <c r="AB44" s="17" t="n"/>
      <c r="AC44" s="17" t="n"/>
      <c r="AD44" s="13" t="n"/>
      <c r="AE44" s="13" t="n"/>
      <c r="AF44" s="13" t="n"/>
      <c r="AG44" s="13" t="n"/>
      <c r="AH44" s="13" t="n"/>
      <c r="AI44" s="17" t="n"/>
      <c r="AJ44" s="17" t="n"/>
      <c r="AK44" s="13" t="n"/>
      <c r="AL44" s="13" t="n"/>
      <c r="AM44" s="13" t="n"/>
      <c r="AN44" s="13" t="n"/>
      <c r="AO44" s="13" t="n"/>
      <c r="AP44" s="17" t="n"/>
      <c r="AQ44" s="17" t="n"/>
      <c r="AR44" s="13" t="n"/>
      <c r="AS44" s="13" t="n"/>
      <c r="AT44" s="13" t="n"/>
      <c r="AU44" s="13" t="n"/>
      <c r="AV44" s="13" t="n"/>
      <c r="AW44" s="17" t="n"/>
      <c r="AX44" s="17" t="n"/>
      <c r="AY44" s="13" t="n"/>
      <c r="AZ44" s="13" t="n"/>
      <c r="BA44" s="13" t="n"/>
      <c r="BB44" s="13" t="n"/>
      <c r="BC44" s="13" t="n"/>
      <c r="BD44" s="17" t="n"/>
      <c r="BE44" s="17" t="n"/>
      <c r="BF44" s="13" t="n"/>
      <c r="BG44" s="13" t="n"/>
      <c r="BH44" s="13" t="n"/>
      <c r="BI44" s="13" t="n"/>
      <c r="BJ44" s="13" t="n"/>
      <c r="BK44" s="17" t="n"/>
      <c r="BL44" s="17" t="n"/>
      <c r="BM44" s="13" t="n"/>
      <c r="BN44" s="13" t="n"/>
      <c r="BO44" s="13" t="n"/>
      <c r="BP44" s="13" t="n"/>
      <c r="BQ44" s="13" t="n"/>
      <c r="BR44" s="17" t="n"/>
      <c r="BS44" s="17" t="n"/>
    </row>
    <row r="45" ht="30" customHeight="1">
      <c r="A45" s="13" t="inlineStr">
        <is>
          <t>8.3</t>
        </is>
      </c>
      <c r="B45" s="14" t="inlineStr">
        <is>
          <t>E2E luồng đặt vé online/quầy, regression và coverage</t>
        </is>
      </c>
      <c r="C45" s="13" t="inlineStr">
        <is>
          <t>Đạt</t>
        </is>
      </c>
      <c r="D45" s="13" t="inlineStr">
        <is>
          <t>1d</t>
        </is>
      </c>
      <c r="E45" s="15" t="n">
        <v>46337</v>
      </c>
      <c r="F45" s="15" t="n">
        <v>46337</v>
      </c>
      <c r="G45" s="13" t="inlineStr">
        <is>
          <t>Chưa thực hiện</t>
        </is>
      </c>
      <c r="H45" s="16" t="n">
        <v>0</v>
      </c>
      <c r="I45" s="13" t="n"/>
      <c r="J45" s="13" t="n"/>
      <c r="K45" s="13" t="n"/>
      <c r="L45" s="13" t="n"/>
      <c r="M45" s="13" t="n"/>
      <c r="N45" s="17" t="n"/>
      <c r="O45" s="17" t="n"/>
      <c r="P45" s="13" t="n"/>
      <c r="Q45" s="13" t="n"/>
      <c r="R45" s="13" t="n"/>
      <c r="S45" s="13" t="n"/>
      <c r="T45" s="13" t="n"/>
      <c r="U45" s="17" t="n"/>
      <c r="V45" s="17" t="n"/>
      <c r="W45" s="13" t="n"/>
      <c r="X45" s="13" t="n"/>
      <c r="Y45" s="13" t="n"/>
      <c r="Z45" s="13" t="n"/>
      <c r="AA45" s="13" t="n"/>
      <c r="AB45" s="17" t="n"/>
      <c r="AC45" s="17" t="n"/>
      <c r="AD45" s="13" t="n"/>
      <c r="AE45" s="13" t="n"/>
      <c r="AF45" s="13" t="n"/>
      <c r="AG45" s="13" t="n"/>
      <c r="AH45" s="13" t="n"/>
      <c r="AI45" s="17" t="n"/>
      <c r="AJ45" s="17" t="n"/>
      <c r="AK45" s="13" t="n"/>
      <c r="AL45" s="13" t="n"/>
      <c r="AM45" s="13" t="n"/>
      <c r="AN45" s="13" t="n"/>
      <c r="AO45" s="13" t="n"/>
      <c r="AP45" s="17" t="n"/>
      <c r="AQ45" s="17" t="n"/>
      <c r="AR45" s="13" t="n"/>
      <c r="AS45" s="13" t="n"/>
      <c r="AT45" s="13" t="n"/>
      <c r="AU45" s="13" t="n"/>
      <c r="AV45" s="13" t="n"/>
      <c r="AW45" s="17" t="n"/>
      <c r="AX45" s="17" t="n"/>
      <c r="AY45" s="13" t="n"/>
      <c r="AZ45" s="13" t="n"/>
      <c r="BA45" s="13" t="n"/>
      <c r="BB45" s="13" t="n"/>
      <c r="BC45" s="13" t="n"/>
      <c r="BD45" s="17" t="n"/>
      <c r="BE45" s="17" t="n"/>
      <c r="BF45" s="13" t="n"/>
      <c r="BG45" s="13" t="n"/>
      <c r="BH45" s="13" t="n"/>
      <c r="BI45" s="13" t="n"/>
      <c r="BJ45" s="13" t="n"/>
      <c r="BK45" s="17" t="n"/>
      <c r="BL45" s="17" t="n"/>
      <c r="BM45" s="13" t="n"/>
      <c r="BN45" s="13" t="n"/>
      <c r="BO45" s="13" t="n"/>
      <c r="BP45" s="13" t="n"/>
      <c r="BQ45" s="13" t="n"/>
      <c r="BR45" s="17" t="n"/>
      <c r="BS45" s="17" t="n"/>
    </row>
    <row r="46" ht="30" customHeight="1">
      <c r="A46" s="9" t="inlineStr">
        <is>
          <t>9</t>
        </is>
      </c>
      <c r="B46" s="10" t="inlineStr">
        <is>
          <t>Triển khai và bàn giao</t>
        </is>
      </c>
      <c r="C46" s="9" t="inlineStr">
        <is>
          <t>Đạt</t>
        </is>
      </c>
      <c r="D46" s="9" t="inlineStr">
        <is>
          <t>1w</t>
        </is>
      </c>
      <c r="E46" s="11" t="n">
        <v>46338</v>
      </c>
      <c r="F46" s="11" t="n">
        <v>46346</v>
      </c>
      <c r="G46" s="9">
        <f>IF(H46&gt;=1,"Đã hoàn thành",IF(H46&gt;0,"Đang thực hiện","Chưa thực hiện"))</f>
        <v/>
      </c>
      <c r="H46" s="12">
        <f>IFERROR(AVERAGE(H47:H49),0)</f>
        <v/>
      </c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</row>
    <row r="47" ht="30" customHeight="1">
      <c r="A47" s="13" t="inlineStr">
        <is>
          <t>9.1</t>
        </is>
      </c>
      <c r="B47" s="14" t="inlineStr">
        <is>
          <t>Deploy demo, pipeline CI/CD, migration/seed, health check, backup/restore</t>
        </is>
      </c>
      <c r="C47" s="13" t="inlineStr">
        <is>
          <t>Đạt</t>
        </is>
      </c>
      <c r="D47" s="13" t="inlineStr">
        <is>
          <t>2d</t>
        </is>
      </c>
      <c r="E47" s="15" t="n">
        <v>46338</v>
      </c>
      <c r="F47" s="15" t="n">
        <v>46339</v>
      </c>
      <c r="G47" s="13" t="inlineStr">
        <is>
          <t>Chưa thực hiện</t>
        </is>
      </c>
      <c r="H47" s="16" t="n">
        <v>0</v>
      </c>
      <c r="I47" s="13" t="n"/>
      <c r="J47" s="13" t="n"/>
      <c r="K47" s="13" t="n"/>
      <c r="L47" s="13" t="n"/>
      <c r="M47" s="13" t="n"/>
      <c r="N47" s="17" t="n"/>
      <c r="O47" s="17" t="n"/>
      <c r="P47" s="13" t="n"/>
      <c r="Q47" s="13" t="n"/>
      <c r="R47" s="13" t="n"/>
      <c r="S47" s="13" t="n"/>
      <c r="T47" s="13" t="n"/>
      <c r="U47" s="17" t="n"/>
      <c r="V47" s="17" t="n"/>
      <c r="W47" s="13" t="n"/>
      <c r="X47" s="13" t="n"/>
      <c r="Y47" s="13" t="n"/>
      <c r="Z47" s="13" t="n"/>
      <c r="AA47" s="13" t="n"/>
      <c r="AB47" s="17" t="n"/>
      <c r="AC47" s="17" t="n"/>
      <c r="AD47" s="13" t="n"/>
      <c r="AE47" s="13" t="n"/>
      <c r="AF47" s="13" t="n"/>
      <c r="AG47" s="13" t="n"/>
      <c r="AH47" s="13" t="n"/>
      <c r="AI47" s="17" t="n"/>
      <c r="AJ47" s="17" t="n"/>
      <c r="AK47" s="13" t="n"/>
      <c r="AL47" s="13" t="n"/>
      <c r="AM47" s="13" t="n"/>
      <c r="AN47" s="13" t="n"/>
      <c r="AO47" s="13" t="n"/>
      <c r="AP47" s="17" t="n"/>
      <c r="AQ47" s="17" t="n"/>
      <c r="AR47" s="13" t="n"/>
      <c r="AS47" s="13" t="n"/>
      <c r="AT47" s="13" t="n"/>
      <c r="AU47" s="13" t="n"/>
      <c r="AV47" s="13" t="n"/>
      <c r="AW47" s="17" t="n"/>
      <c r="AX47" s="17" t="n"/>
      <c r="AY47" s="13" t="n"/>
      <c r="AZ47" s="13" t="n"/>
      <c r="BA47" s="13" t="n"/>
      <c r="BB47" s="13" t="n"/>
      <c r="BC47" s="13" t="n"/>
      <c r="BD47" s="17" t="n"/>
      <c r="BE47" s="17" t="n"/>
      <c r="BF47" s="13" t="n"/>
      <c r="BG47" s="13" t="n"/>
      <c r="BH47" s="13" t="n"/>
      <c r="BI47" s="13" t="n"/>
      <c r="BJ47" s="13" t="n"/>
      <c r="BK47" s="17" t="n"/>
      <c r="BL47" s="17" t="n"/>
      <c r="BM47" s="13" t="n"/>
      <c r="BN47" s="13" t="n"/>
      <c r="BO47" s="13" t="n"/>
      <c r="BP47" s="13" t="n"/>
      <c r="BQ47" s="13" t="n"/>
      <c r="BR47" s="17" t="n"/>
      <c r="BS47" s="17" t="n"/>
    </row>
    <row r="48" ht="30" customHeight="1">
      <c r="A48" s="13" t="inlineStr">
        <is>
          <t>9.2</t>
        </is>
      </c>
      <c r="B48" s="14" t="inlineStr">
        <is>
          <t>Hoàn thiện API/Postman, DEPLOYMENT và hướng dẫn ba vai trò</t>
        </is>
      </c>
      <c r="C48" s="13" t="inlineStr">
        <is>
          <t>Đạt</t>
        </is>
      </c>
      <c r="D48" s="13" t="inlineStr">
        <is>
          <t>2d</t>
        </is>
      </c>
      <c r="E48" s="15" t="n">
        <v>46342</v>
      </c>
      <c r="F48" s="15" t="n">
        <v>46343</v>
      </c>
      <c r="G48" s="13" t="inlineStr">
        <is>
          <t>Chưa thực hiện</t>
        </is>
      </c>
      <c r="H48" s="16" t="n">
        <v>0</v>
      </c>
      <c r="I48" s="13" t="n"/>
      <c r="J48" s="13" t="n"/>
      <c r="K48" s="13" t="n"/>
      <c r="L48" s="13" t="n"/>
      <c r="M48" s="13" t="n"/>
      <c r="N48" s="17" t="n"/>
      <c r="O48" s="17" t="n"/>
      <c r="P48" s="13" t="n"/>
      <c r="Q48" s="13" t="n"/>
      <c r="R48" s="13" t="n"/>
      <c r="S48" s="13" t="n"/>
      <c r="T48" s="13" t="n"/>
      <c r="U48" s="17" t="n"/>
      <c r="V48" s="17" t="n"/>
      <c r="W48" s="13" t="n"/>
      <c r="X48" s="13" t="n"/>
      <c r="Y48" s="13" t="n"/>
      <c r="Z48" s="13" t="n"/>
      <c r="AA48" s="13" t="n"/>
      <c r="AB48" s="17" t="n"/>
      <c r="AC48" s="17" t="n"/>
      <c r="AD48" s="13" t="n"/>
      <c r="AE48" s="13" t="n"/>
      <c r="AF48" s="13" t="n"/>
      <c r="AG48" s="13" t="n"/>
      <c r="AH48" s="13" t="n"/>
      <c r="AI48" s="17" t="n"/>
      <c r="AJ48" s="17" t="n"/>
      <c r="AK48" s="13" t="n"/>
      <c r="AL48" s="13" t="n"/>
      <c r="AM48" s="13" t="n"/>
      <c r="AN48" s="13" t="n"/>
      <c r="AO48" s="13" t="n"/>
      <c r="AP48" s="17" t="n"/>
      <c r="AQ48" s="17" t="n"/>
      <c r="AR48" s="13" t="n"/>
      <c r="AS48" s="13" t="n"/>
      <c r="AT48" s="13" t="n"/>
      <c r="AU48" s="13" t="n"/>
      <c r="AV48" s="13" t="n"/>
      <c r="AW48" s="17" t="n"/>
      <c r="AX48" s="17" t="n"/>
      <c r="AY48" s="13" t="n"/>
      <c r="AZ48" s="13" t="n"/>
      <c r="BA48" s="13" t="n"/>
      <c r="BB48" s="13" t="n"/>
      <c r="BC48" s="13" t="n"/>
      <c r="BD48" s="17" t="n"/>
      <c r="BE48" s="17" t="n"/>
      <c r="BF48" s="13" t="n"/>
      <c r="BG48" s="13" t="n"/>
      <c r="BH48" s="13" t="n"/>
      <c r="BI48" s="13" t="n"/>
      <c r="BJ48" s="13" t="n"/>
      <c r="BK48" s="17" t="n"/>
      <c r="BL48" s="17" t="n"/>
      <c r="BM48" s="13" t="n"/>
      <c r="BN48" s="13" t="n"/>
      <c r="BO48" s="13" t="n"/>
      <c r="BP48" s="13" t="n"/>
      <c r="BQ48" s="13" t="n"/>
      <c r="BR48" s="17" t="n"/>
      <c r="BS48" s="17" t="n"/>
    </row>
    <row r="49" ht="30" customHeight="1">
      <c r="A49" s="13" t="inlineStr">
        <is>
          <t>9.3</t>
        </is>
      </c>
      <c r="B49" s="14" t="inlineStr">
        <is>
          <t>Video demo 5–10 phút và kiểm tra bộ bàn giao</t>
        </is>
      </c>
      <c r="C49" s="13" t="inlineStr">
        <is>
          <t>Đạt</t>
        </is>
      </c>
      <c r="D49" s="13" t="inlineStr">
        <is>
          <t>1d</t>
        </is>
      </c>
      <c r="E49" s="15" t="n">
        <v>46344</v>
      </c>
      <c r="F49" s="15" t="n">
        <v>46344</v>
      </c>
      <c r="G49" s="13" t="inlineStr">
        <is>
          <t>Chưa thực hiện</t>
        </is>
      </c>
      <c r="H49" s="16" t="n">
        <v>0</v>
      </c>
      <c r="I49" s="13" t="n"/>
      <c r="J49" s="13" t="n"/>
      <c r="K49" s="13" t="n"/>
      <c r="L49" s="13" t="n"/>
      <c r="M49" s="13" t="n"/>
      <c r="N49" s="17" t="n"/>
      <c r="O49" s="17" t="n"/>
      <c r="P49" s="13" t="n"/>
      <c r="Q49" s="13" t="n"/>
      <c r="R49" s="13" t="n"/>
      <c r="S49" s="13" t="n"/>
      <c r="T49" s="13" t="n"/>
      <c r="U49" s="17" t="n"/>
      <c r="V49" s="17" t="n"/>
      <c r="W49" s="13" t="n"/>
      <c r="X49" s="13" t="n"/>
      <c r="Y49" s="13" t="n"/>
      <c r="Z49" s="13" t="n"/>
      <c r="AA49" s="13" t="n"/>
      <c r="AB49" s="17" t="n"/>
      <c r="AC49" s="17" t="n"/>
      <c r="AD49" s="13" t="n"/>
      <c r="AE49" s="13" t="n"/>
      <c r="AF49" s="13" t="n"/>
      <c r="AG49" s="13" t="n"/>
      <c r="AH49" s="13" t="n"/>
      <c r="AI49" s="17" t="n"/>
      <c r="AJ49" s="17" t="n"/>
      <c r="AK49" s="13" t="n"/>
      <c r="AL49" s="13" t="n"/>
      <c r="AM49" s="13" t="n"/>
      <c r="AN49" s="13" t="n"/>
      <c r="AO49" s="13" t="n"/>
      <c r="AP49" s="17" t="n"/>
      <c r="AQ49" s="17" t="n"/>
      <c r="AR49" s="13" t="n"/>
      <c r="AS49" s="13" t="n"/>
      <c r="AT49" s="13" t="n"/>
      <c r="AU49" s="13" t="n"/>
      <c r="AV49" s="13" t="n"/>
      <c r="AW49" s="17" t="n"/>
      <c r="AX49" s="17" t="n"/>
      <c r="AY49" s="13" t="n"/>
      <c r="AZ49" s="13" t="n"/>
      <c r="BA49" s="13" t="n"/>
      <c r="BB49" s="13" t="n"/>
      <c r="BC49" s="13" t="n"/>
      <c r="BD49" s="17" t="n"/>
      <c r="BE49" s="17" t="n"/>
      <c r="BF49" s="13" t="n"/>
      <c r="BG49" s="13" t="n"/>
      <c r="BH49" s="13" t="n"/>
      <c r="BI49" s="13" t="n"/>
      <c r="BJ49" s="13" t="n"/>
      <c r="BK49" s="17" t="n"/>
      <c r="BL49" s="17" t="n"/>
      <c r="BM49" s="13" t="n"/>
      <c r="BN49" s="13" t="n"/>
      <c r="BO49" s="13" t="n"/>
      <c r="BP49" s="13" t="n"/>
      <c r="BQ49" s="13" t="n"/>
      <c r="BR49" s="17" t="n"/>
      <c r="BS49" s="17" t="n"/>
    </row>
    <row r="51">
      <c r="B51" s="18" t="inlineStr">
        <is>
          <t>Tổng tiến độ dự án</t>
        </is>
      </c>
      <c r="H51" s="19">
        <f>AVERAGE(H4,H26,H41)</f>
        <v/>
      </c>
    </row>
  </sheetData>
  <mergeCells count="12">
    <mergeCell ref="S2:AW2"/>
    <mergeCell ref="AX2:BS2"/>
    <mergeCell ref="D2:D3"/>
    <mergeCell ref="B2:B3"/>
    <mergeCell ref="A2:A3"/>
    <mergeCell ref="A1:H1"/>
    <mergeCell ref="C2:C3"/>
    <mergeCell ref="F2:F3"/>
    <mergeCell ref="E2:E3"/>
    <mergeCell ref="H2:H3"/>
    <mergeCell ref="G2:G3"/>
    <mergeCell ref="I2:R2"/>
  </mergeCells>
  <conditionalFormatting sqref="G4:G49">
    <cfRule type="expression" priority="1" dxfId="0">
      <formula>$G4="Đã hoàn thành"</formula>
    </cfRule>
    <cfRule type="expression" priority="2" dxfId="1">
      <formula>$G4="Đang thực hiện"</formula>
    </cfRule>
    <cfRule type="expression" priority="3" dxfId="2">
      <formula>$G4="Chưa thực hiện"</formula>
    </cfRule>
    <cfRule type="expression" priority="4" dxfId="3">
      <formula>$G4="Tạm dừng"</formula>
    </cfRule>
  </conditionalFormatting>
  <conditionalFormatting sqref="I4:BS49">
    <cfRule type="expression" priority="5" dxfId="4">
      <formula>AND(I$3=TODAY(),$E4&lt;&gt;"")</formula>
    </cfRule>
    <cfRule type="expression" priority="6" dxfId="5" stopIfTrue="1">
      <formula>AND(AND(I$3&gt;=$E4,I$3&lt;=$F4),$C4="")</formula>
    </cfRule>
    <cfRule type="expression" priority="7" dxfId="6" stopIfTrue="1">
      <formula>AND(AND(I$3&gt;=$E4,I$3&lt;=$F4),$G4="Đã hoàn thành")</formula>
    </cfRule>
    <cfRule type="expression" priority="8" dxfId="7" stopIfTrue="1">
      <formula>AND(AND(I$3&gt;=$E4,I$3&lt;=$F4),$G4="Đang thực hiện")</formula>
    </cfRule>
    <cfRule type="expression" priority="9" dxfId="8" stopIfTrue="1">
      <formula>AND(I$3&gt;=$E4,I$3&lt;=$F4)</formula>
    </cfRule>
  </conditionalFormatting>
  <dataValidations count="1">
    <dataValidation sqref="G4:G49" showDropDown="0" showInputMessage="0" showErrorMessage="0" allowBlank="1" type="list">
      <formula1>"Chưa thực hiện,Đang thực hiện,Đã hoàn thành,Tạm dừng"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20" t="inlineStr">
        <is>
          <t>Mục</t>
        </is>
      </c>
      <c r="B1" s="20" t="inlineStr">
        <is>
          <t>Nội dung</t>
        </is>
      </c>
    </row>
    <row r="2">
      <c r="A2" s="18" t="inlineStr">
        <is>
          <t>Đề tài</t>
        </is>
      </c>
      <c r="B2" s="21" t="inlineStr">
        <is>
          <t>Hệ thống đặt vé xem phim: khách hàng xem phim/lịch chiếu, chọn ghế, thanh toán online, nhận vé QR; nhân viên bán vé tại quầy và soát vé; admin quản lý phim, rạp, suất chiếu, giá, khuyến mãi, báo cáo.</t>
        </is>
      </c>
    </row>
    <row r="3">
      <c r="A3" s="18" t="inlineStr">
        <is>
          <t>Vai trò</t>
        </is>
      </c>
      <c r="B3" s="21" t="inlineStr">
        <is>
          <t>Khách hàng, Nhân viên rạp, Admin</t>
        </is>
      </c>
    </row>
    <row r="4">
      <c r="A4" s="18" t="inlineStr">
        <is>
          <t>Thời gian</t>
        </is>
      </c>
      <c r="B4" s="21" t="inlineStr">
        <is>
          <t>21/09/2026 – 22/11/2026 (~9 tuần)</t>
        </is>
      </c>
    </row>
    <row r="5">
      <c r="A5" s="18" t="inlineStr">
        <is>
          <t>Cách cập nhật</t>
        </is>
      </c>
      <c r="B5" s="21" t="inlineStr">
        <is>
          <t>Chỉ sửa cột Trạng thái (dropdown) và Tỉ lệ ở các dòng công việc con; dòng nhóm/sprint tự tính trung bình. Đổi ngày Bắt đầu/Deadline thì thanh Gantt tự dịch.</t>
        </is>
      </c>
    </row>
    <row r="6">
      <c r="A6" s="18" t="inlineStr">
        <is>
          <t>Màu Gantt</t>
        </is>
      </c>
      <c r="B6" s="21" t="inlineStr">
        <is>
          <t>Xanh đậm: Sprint · Xanh dương: chưa làm · Cam: đang làm · Xanh lá: hoàn thành · Đỏ: hôm nay</t>
        </is>
      </c>
    </row>
    <row r="7">
      <c r="A7" s="18" t="inlineStr">
        <is>
          <t>Milestone</t>
        </is>
      </c>
      <c r="B7" s="21" t="inlineStr">
        <is>
          <t>M1 18/10: đặt vé giữ ghế chạy được · M2 08/11: thanh toán + quầy + báo cáo · M3 20/11: demo &amp; bàn giao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2026-09-18T03:29:52Z</dcterms:created>
  <dcterms:modified xmlns:dcterms="http://purl.org/dc/terms/" xmlns:xsi="http://www.w3.org/2001/XMLSchema-instance" xsi:type="dcterms:W3CDTF">2026-09-18T03:29:52Z</dcterms:modified>
</cp:coreProperties>
</file>